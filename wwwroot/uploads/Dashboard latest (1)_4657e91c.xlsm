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0490" windowHeight="7650" tabRatio="716" activeTab="4"/>
  </bookViews>
  <sheets>
    <sheet name="Input" sheetId="18" r:id="rId1"/>
    <sheet name="Mode Pivot" sheetId="28" state="hidden" r:id="rId2"/>
    <sheet name="Unit Pivot Month" sheetId="48" state="hidden" r:id="rId3"/>
    <sheet name="Unit Pivot" sheetId="39" state="hidden" r:id="rId4"/>
    <sheet name="Raw Data" sheetId="9" r:id="rId5"/>
    <sheet name="Unit Summary Month" sheetId="51" r:id="rId6"/>
    <sheet name="Unit Summary" sheetId="50" r:id="rId7"/>
    <sheet name="Department Pivot" sheetId="45" state="hidden" r:id="rId8"/>
    <sheet name="Department Summary" sheetId="46" r:id="rId9"/>
    <sheet name="Designation Summary" sheetId="42" state="hidden" r:id="rId10"/>
    <sheet name="Mode Summary" sheetId="29" r:id="rId11"/>
    <sheet name="Designation Pivot" sheetId="41" state="hidden" r:id="rId12"/>
    <sheet name="Data list" sheetId="19" state="hidden" r:id="rId13"/>
  </sheets>
  <definedNames>
    <definedName name="_xlnm._FilterDatabase" localSheetId="4" hidden="1">'Raw Data'!$M$2:$M$290</definedName>
    <definedName name="_xlnm.Extract" localSheetId="4">'Data list'!$F$2</definedName>
    <definedName name="Slicer_Department">#N/A</definedName>
    <definedName name="Slicer_Designation">#N/A</definedName>
    <definedName name="Slicer_Designation1">#N/A</definedName>
    <definedName name="Slicer_Mode_of_vacancy">#N/A</definedName>
    <definedName name="Slicer_Month">#N/A</definedName>
    <definedName name="Slicer_Month1">#N/A</definedName>
    <definedName name="Slicer_Month2">#N/A</definedName>
    <definedName name="Slicer_Month3">#N/A</definedName>
    <definedName name="Slicer_Month4">#N/A</definedName>
    <definedName name="Slicer_Unit__Factory">#N/A</definedName>
    <definedName name="Slicer_Unit__Factory1">#N/A</definedName>
    <definedName name="Slicer_Year">#N/A</definedName>
    <definedName name="Slicer_Year1">#N/A</definedName>
    <definedName name="Slicer_Year2">#N/A</definedName>
    <definedName name="Slicer_Year3">#N/A</definedName>
    <definedName name="Slicer_Year4">#N/A</definedName>
  </definedNames>
  <calcPr calcId="162913"/>
  <pivotCaches>
    <pivotCache cacheId="0" r:id="rId14"/>
    <pivotCache cacheId="9"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7" i="42" l="1"/>
  <c r="Q6" i="42"/>
  <c r="Q8" i="42"/>
  <c r="T18" i="50"/>
  <c r="T22" i="51"/>
  <c r="T24" i="51"/>
  <c r="T17" i="50"/>
  <c r="Q15" i="46"/>
  <c r="Q16" i="46"/>
  <c r="T23" i="51"/>
  <c r="T17" i="29"/>
  <c r="Q17" i="46"/>
  <c r="T19" i="50"/>
</calcChain>
</file>

<file path=xl/comments1.xml><?xml version="1.0" encoding="utf-8"?>
<comments xmlns="http://schemas.openxmlformats.org/spreadsheetml/2006/main">
  <authors>
    <author>Author</author>
  </authors>
  <commentList>
    <comment ref="G11" authorId="0" shapeId="0">
      <text>
        <r>
          <rPr>
            <b/>
            <sz val="9"/>
            <color indexed="81"/>
            <rFont val="Tahoma"/>
            <family val="2"/>
          </rPr>
          <t>Author:</t>
        </r>
        <r>
          <rPr>
            <sz val="9"/>
            <color indexed="81"/>
            <rFont val="Tahoma"/>
            <family val="2"/>
          </rPr>
          <t xml:space="preserve">
Cant Figure out the department</t>
        </r>
      </text>
    </comment>
    <comment ref="I46" authorId="0" shapeId="0">
      <text>
        <r>
          <rPr>
            <b/>
            <sz val="9"/>
            <color indexed="81"/>
            <rFont val="Tahoma"/>
            <family val="2"/>
          </rPr>
          <t>Author:</t>
        </r>
        <r>
          <rPr>
            <sz val="9"/>
            <color indexed="81"/>
            <rFont val="Tahoma"/>
            <family val="2"/>
          </rPr>
          <t xml:space="preserve">
Cant understand what DSW mean here
</t>
        </r>
      </text>
    </comment>
    <comment ref="I100" authorId="0" shapeId="0">
      <text>
        <r>
          <rPr>
            <b/>
            <sz val="9"/>
            <color indexed="81"/>
            <rFont val="Tahoma"/>
            <family val="2"/>
          </rPr>
          <t>Author:</t>
        </r>
        <r>
          <rPr>
            <sz val="9"/>
            <color indexed="81"/>
            <rFont val="Tahoma"/>
            <family val="2"/>
          </rPr>
          <t xml:space="preserve">
What does HTZ mean here?
</t>
        </r>
      </text>
    </comment>
    <comment ref="H106" authorId="0" shapeId="0">
      <text>
        <r>
          <rPr>
            <b/>
            <sz val="9"/>
            <color indexed="81"/>
            <rFont val="Tahoma"/>
            <family val="2"/>
          </rPr>
          <t>Author:</t>
        </r>
        <r>
          <rPr>
            <sz val="9"/>
            <color indexed="81"/>
            <rFont val="Tahoma"/>
            <family val="2"/>
          </rPr>
          <t xml:space="preserve">
What does CGL Pagar mean?
</t>
        </r>
      </text>
    </comment>
    <comment ref="I159" authorId="0" shapeId="0">
      <text>
        <r>
          <rPr>
            <b/>
            <sz val="9"/>
            <color indexed="81"/>
            <rFont val="Tahoma"/>
            <family val="2"/>
          </rPr>
          <t>Author:</t>
        </r>
        <r>
          <rPr>
            <sz val="9"/>
            <color indexed="81"/>
            <rFont val="Tahoma"/>
            <family val="2"/>
          </rPr>
          <t xml:space="preserve">
ADL?
</t>
        </r>
      </text>
    </comment>
    <comment ref="G189" authorId="0" shapeId="0">
      <text>
        <r>
          <rPr>
            <b/>
            <sz val="9"/>
            <color indexed="81"/>
            <rFont val="Tahoma"/>
            <family val="2"/>
          </rPr>
          <t>Author:</t>
        </r>
        <r>
          <rPr>
            <sz val="9"/>
            <color indexed="81"/>
            <rFont val="Tahoma"/>
            <family val="2"/>
          </rPr>
          <t xml:space="preserve">
??
</t>
        </r>
      </text>
    </comment>
    <comment ref="G275" authorId="0" shapeId="0">
      <text>
        <r>
          <rPr>
            <b/>
            <sz val="9"/>
            <color indexed="81"/>
            <rFont val="Tahoma"/>
            <family val="2"/>
          </rPr>
          <t>Author:</t>
        </r>
        <r>
          <rPr>
            <sz val="9"/>
            <color indexed="81"/>
            <rFont val="Tahoma"/>
            <family val="2"/>
          </rPr>
          <t xml:space="preserve">
What is the department here?</t>
        </r>
      </text>
    </comment>
  </commentList>
</comments>
</file>

<file path=xl/sharedStrings.xml><?xml version="1.0" encoding="utf-8"?>
<sst xmlns="http://schemas.openxmlformats.org/spreadsheetml/2006/main" count="3094" uniqueCount="723">
  <si>
    <t>SL</t>
  </si>
  <si>
    <t>ID</t>
  </si>
  <si>
    <t xml:space="preserve">Name </t>
  </si>
  <si>
    <t>Designation</t>
  </si>
  <si>
    <t>Department</t>
  </si>
  <si>
    <t>Unit/ Factory</t>
  </si>
  <si>
    <t>Report To</t>
  </si>
  <si>
    <t>EDOJ</t>
  </si>
  <si>
    <t>Gross</t>
  </si>
  <si>
    <t>Salary Unit</t>
  </si>
  <si>
    <t>Status</t>
  </si>
  <si>
    <t>Approval Authority</t>
  </si>
  <si>
    <t>Remarks</t>
  </si>
  <si>
    <t>Muhammad Zahidul Islam</t>
  </si>
  <si>
    <t>Production</t>
  </si>
  <si>
    <t>Ashulia</t>
  </si>
  <si>
    <t>That's It Sports Wear Ltd.</t>
  </si>
  <si>
    <t>Vacant</t>
  </si>
  <si>
    <t>MD</t>
  </si>
  <si>
    <t>Nagesha Krishnappa</t>
  </si>
  <si>
    <t>Director</t>
  </si>
  <si>
    <t>Refat Garments Ltd.</t>
  </si>
  <si>
    <t>Contractual</t>
  </si>
  <si>
    <t>Nourin Zahan Elma</t>
  </si>
  <si>
    <t>MTO</t>
  </si>
  <si>
    <t>Next Collections Ltd.</t>
  </si>
  <si>
    <t>New</t>
  </si>
  <si>
    <t>Kamrul Hasan</t>
  </si>
  <si>
    <t>Ahmad Nafi-Us-Saleheen</t>
  </si>
  <si>
    <t>Mamur Nur Amin Chowdhury</t>
  </si>
  <si>
    <t>Creative Collection Ltd.</t>
  </si>
  <si>
    <t>Md. Golam Muktadir Asif</t>
  </si>
  <si>
    <t>Sudip Saurav Guha</t>
  </si>
  <si>
    <t>Md. Arif Shekh</t>
  </si>
  <si>
    <t>Caddie</t>
  </si>
  <si>
    <t>Admin</t>
  </si>
  <si>
    <t>Johnson Joseph Kavoo</t>
  </si>
  <si>
    <t>Group DMD</t>
  </si>
  <si>
    <t>Apparel Gallery Ltd.</t>
  </si>
  <si>
    <t>Md. Jashim Uddin</t>
  </si>
  <si>
    <t>Customs Sarker</t>
  </si>
  <si>
    <t>Commercial</t>
  </si>
  <si>
    <t>Kazi Imran</t>
  </si>
  <si>
    <t>Md. Zulfikar Ali Khan</t>
  </si>
  <si>
    <t>Anu Rajbongshi</t>
  </si>
  <si>
    <t>Officer</t>
  </si>
  <si>
    <t>Al Amin</t>
  </si>
  <si>
    <t>Replacement</t>
  </si>
  <si>
    <t>Md. Habibur Rashid Shuvon</t>
  </si>
  <si>
    <t>Sohag Hossain</t>
  </si>
  <si>
    <t>Office Assistant</t>
  </si>
  <si>
    <t>Sohel Sikder</t>
  </si>
  <si>
    <t>Peon</t>
  </si>
  <si>
    <t>Ha-Meem Denim Ltd.</t>
  </si>
  <si>
    <t>Md. Nayeem Sarder</t>
  </si>
  <si>
    <t>Tongi</t>
  </si>
  <si>
    <t>Md. Rubel Hasan</t>
  </si>
  <si>
    <t>Mawna</t>
  </si>
  <si>
    <t>Ha-Meem Textiles Ltd.</t>
  </si>
  <si>
    <t xml:space="preserve">Md. Oliullah </t>
  </si>
  <si>
    <t>Kaliganj</t>
  </si>
  <si>
    <t>Bright Wash Ltd.</t>
  </si>
  <si>
    <t>Sk. Tasrifullah</t>
  </si>
  <si>
    <t>Mostafizur Rahman</t>
  </si>
  <si>
    <t>Md. Nazrul Islam</t>
  </si>
  <si>
    <t>Md. Alauddin</t>
  </si>
  <si>
    <t>Najat Ali</t>
  </si>
  <si>
    <t>LHTE</t>
  </si>
  <si>
    <t>Sylhet Planters Ltd.</t>
  </si>
  <si>
    <t>Mahamud Hasan Prince</t>
  </si>
  <si>
    <t>Merchandiser</t>
  </si>
  <si>
    <t>Merchandising</t>
  </si>
  <si>
    <t>Moshiur Rahman</t>
  </si>
  <si>
    <t>Md. Imran Hossain</t>
  </si>
  <si>
    <t>Md. Tanvir Hasan</t>
  </si>
  <si>
    <t>Md. Tasnimul Islam Efte</t>
  </si>
  <si>
    <t>Sales &amp; Marketing</t>
  </si>
  <si>
    <t>Md. Rony Ahmod</t>
  </si>
  <si>
    <t>Artistic Design Ltd.</t>
  </si>
  <si>
    <t>Md. Abu Zehad</t>
  </si>
  <si>
    <t>Md. Anisur Rahaman Anis</t>
  </si>
  <si>
    <t>Md. Raihan Udden</t>
  </si>
  <si>
    <t>Md. Juwel Sheikh</t>
  </si>
  <si>
    <t>Driver</t>
  </si>
  <si>
    <t>Officer, Admin</t>
  </si>
  <si>
    <t>Md. Jafor Sadik</t>
  </si>
  <si>
    <t>Helper</t>
  </si>
  <si>
    <t>Mohammad Mizanur Rahman</t>
  </si>
  <si>
    <t>Md. Sheikh Sadi</t>
  </si>
  <si>
    <t>Gardener</t>
  </si>
  <si>
    <t>Faridpur</t>
  </si>
  <si>
    <t>Md. Moddassar Hosan</t>
  </si>
  <si>
    <t>CCTV Operator</t>
  </si>
  <si>
    <t>Next Collection Ltd.</t>
  </si>
  <si>
    <t>Md. Ripon Ali</t>
  </si>
  <si>
    <t>Ashim Biswas</t>
  </si>
  <si>
    <t>Md. Abdulla</t>
  </si>
  <si>
    <t>Shafiqul Islam</t>
  </si>
  <si>
    <t>Project Manager</t>
  </si>
  <si>
    <t>Engineering</t>
  </si>
  <si>
    <t>Casual Garments Ltd.</t>
  </si>
  <si>
    <t xml:space="preserve">Md. Masum </t>
  </si>
  <si>
    <t>Md. Rafy Uddin Shanto</t>
  </si>
  <si>
    <t>Express Washing &amp; Dyeing Ltd.</t>
  </si>
  <si>
    <t>Gourob Saha</t>
  </si>
  <si>
    <t>Most Tania Sultana</t>
  </si>
  <si>
    <t>Md. Kamrul Ahsan</t>
  </si>
  <si>
    <t>Mohammad Lutfor Rahman</t>
  </si>
  <si>
    <t>Md. Monirul Islam Newton</t>
  </si>
  <si>
    <t>Jinnat Afrin</t>
  </si>
  <si>
    <t>Taif Bin Islam</t>
  </si>
  <si>
    <t>Dewan Rafatul Rohan</t>
  </si>
  <si>
    <t>Md. Zahid Hossain</t>
  </si>
  <si>
    <t>Md. Rakibul Alom</t>
  </si>
  <si>
    <t>Samiul Islam Siam</t>
  </si>
  <si>
    <t>M Zillur Raihan Bhuiyan</t>
  </si>
  <si>
    <t>Zahairul Haque</t>
  </si>
  <si>
    <t>Md. Motahasin Takib</t>
  </si>
  <si>
    <t>Reggie Peter Sebastian</t>
  </si>
  <si>
    <t>Salman Samir</t>
  </si>
  <si>
    <t>Md. Mostafizur Rahman</t>
  </si>
  <si>
    <t>Md. Faruque Chowdhury</t>
  </si>
  <si>
    <t>General Manager</t>
  </si>
  <si>
    <t>Sylhet</t>
  </si>
  <si>
    <t>Managing Director</t>
  </si>
  <si>
    <t>Ajouwad Khandoker</t>
  </si>
  <si>
    <t>DMD, SPM</t>
  </si>
  <si>
    <t>Md. Farhad Islam</t>
  </si>
  <si>
    <t>Manager</t>
  </si>
  <si>
    <t>Mizanur Rahaman</t>
  </si>
  <si>
    <t>Saidur Rahman</t>
  </si>
  <si>
    <t>Md. Haseful Hassan</t>
  </si>
  <si>
    <t>Enamul Haque</t>
  </si>
  <si>
    <t>Zirani</t>
  </si>
  <si>
    <t>Md. Sohag Rana</t>
  </si>
  <si>
    <t>Md. Zamil Hasan Talukder</t>
  </si>
  <si>
    <t>Nazmul Hossain</t>
  </si>
  <si>
    <t>Md. Anwar Hossain</t>
  </si>
  <si>
    <t>Md. Aminul Islam</t>
  </si>
  <si>
    <t>Explore Garments Ltd.</t>
  </si>
  <si>
    <t>Jagath Srinath Wickramarachchi</t>
  </si>
  <si>
    <t>Mohammad Shamim Taloukder</t>
  </si>
  <si>
    <t>Nihal Rathnayake</t>
  </si>
  <si>
    <t>Md. Sohel Rana</t>
  </si>
  <si>
    <t>Kamruzzaman</t>
  </si>
  <si>
    <t>Md. Miraz Khan</t>
  </si>
  <si>
    <t>Trainee Merchandiser</t>
  </si>
  <si>
    <t>Tushar Paul</t>
  </si>
  <si>
    <t>Senior Designer</t>
  </si>
  <si>
    <t>Design &amp; Development</t>
  </si>
  <si>
    <t>Assistant Manager</t>
  </si>
  <si>
    <t>053155</t>
  </si>
  <si>
    <t>Muhammad Nayeem Siddique</t>
  </si>
  <si>
    <t>053147</t>
  </si>
  <si>
    <t>Nihad Hasan</t>
  </si>
  <si>
    <t>053157</t>
  </si>
  <si>
    <t>Md. Anwarul Islam</t>
  </si>
  <si>
    <t>053151</t>
  </si>
  <si>
    <t>Md. Sajjad Hossen</t>
  </si>
  <si>
    <t>Fire Technician</t>
  </si>
  <si>
    <t>053146</t>
  </si>
  <si>
    <t>Assistant Designer</t>
  </si>
  <si>
    <t>053156</t>
  </si>
  <si>
    <t>Mohammad Arif Mohiuddin</t>
  </si>
  <si>
    <t>Deputy Manager</t>
  </si>
  <si>
    <t>053158</t>
  </si>
  <si>
    <t>Syed Ekram Shibly</t>
  </si>
  <si>
    <t>053153</t>
  </si>
  <si>
    <t>Md. Al Rajib Hasan Kazal</t>
  </si>
  <si>
    <t>053145</t>
  </si>
  <si>
    <t>Md. Monayem Khan</t>
  </si>
  <si>
    <t>Creative Garments Ltd.</t>
  </si>
  <si>
    <t>053149</t>
  </si>
  <si>
    <t>Md. Safatuzzaman Chowdhury</t>
  </si>
  <si>
    <t>053348</t>
  </si>
  <si>
    <t>Md. Masum Bil Karim</t>
  </si>
  <si>
    <t>053324</t>
  </si>
  <si>
    <t>Tamal Mazumder</t>
  </si>
  <si>
    <t>Software Support Engineer</t>
  </si>
  <si>
    <t>053323</t>
  </si>
  <si>
    <t>Md. Elahi Siam</t>
  </si>
  <si>
    <t>053224</t>
  </si>
  <si>
    <t>Md. Akikur Rahman Khan</t>
  </si>
  <si>
    <t>053225</t>
  </si>
  <si>
    <t>Rasel Mahmud Rajib</t>
  </si>
  <si>
    <t>053292</t>
  </si>
  <si>
    <t>Md. Humayun Rashid</t>
  </si>
  <si>
    <t>053294</t>
  </si>
  <si>
    <t>Asif Mahmud</t>
  </si>
  <si>
    <t>053296</t>
  </si>
  <si>
    <t>053299</t>
  </si>
  <si>
    <t>Adnan Bin Zahid</t>
  </si>
  <si>
    <t>053154</t>
  </si>
  <si>
    <t>Mohaiminul Islam Sami</t>
  </si>
  <si>
    <t>Ha-Meem Spinning Mills Ltd.</t>
  </si>
  <si>
    <t>053152</t>
  </si>
  <si>
    <t>Md. Yeasin Arafat</t>
  </si>
  <si>
    <t>Fauji Chat Kal Ltd.</t>
  </si>
  <si>
    <t>053099</t>
  </si>
  <si>
    <t>Rubel Molla</t>
  </si>
  <si>
    <t>May, 2023</t>
  </si>
  <si>
    <t>054516</t>
  </si>
  <si>
    <t>Md. Anamul Hoque</t>
  </si>
  <si>
    <t>053392</t>
  </si>
  <si>
    <t>Md. Nazrul Islam Khan</t>
  </si>
  <si>
    <t>053375</t>
  </si>
  <si>
    <t>053414</t>
  </si>
  <si>
    <t>Md. Sujan Hossen</t>
  </si>
  <si>
    <t>053418</t>
  </si>
  <si>
    <t>Khawza Nishat Anam</t>
  </si>
  <si>
    <t>053416</t>
  </si>
  <si>
    <t>Mustahsin Masrur Rahman</t>
  </si>
  <si>
    <t>053420</t>
  </si>
  <si>
    <t>Fiarooz Sadaf Nokshi</t>
  </si>
  <si>
    <t>Trainee Designer</t>
  </si>
  <si>
    <t>053419</t>
  </si>
  <si>
    <t>Parvez Hassan</t>
  </si>
  <si>
    <t>054420</t>
  </si>
  <si>
    <t>Imran Hossain</t>
  </si>
  <si>
    <t>Designer</t>
  </si>
  <si>
    <t>053402</t>
  </si>
  <si>
    <t>Premanshu Kumar Das</t>
  </si>
  <si>
    <t>053748</t>
  </si>
  <si>
    <t>Md. Mosharrof Hossain</t>
  </si>
  <si>
    <t>053754</t>
  </si>
  <si>
    <t>Nasif Al Islam</t>
  </si>
  <si>
    <t>053421</t>
  </si>
  <si>
    <t>053555</t>
  </si>
  <si>
    <t>Md. Riaz Uddin</t>
  </si>
  <si>
    <t>053407</t>
  </si>
  <si>
    <t>053412</t>
  </si>
  <si>
    <t>Md. Shihabul Islam</t>
  </si>
  <si>
    <t>053400</t>
  </si>
  <si>
    <t>Md. Enamul Haque</t>
  </si>
  <si>
    <t>053384</t>
  </si>
  <si>
    <t>Jannatul Ferdosh</t>
  </si>
  <si>
    <t>053376</t>
  </si>
  <si>
    <t>Shayful Islam</t>
  </si>
  <si>
    <t>053399</t>
  </si>
  <si>
    <t>Md. Abul Kalam Azad</t>
  </si>
  <si>
    <t>053403</t>
  </si>
  <si>
    <t>Billal Hossain</t>
  </si>
  <si>
    <t>053404</t>
  </si>
  <si>
    <t>053395</t>
  </si>
  <si>
    <t>Farjana Akhter</t>
  </si>
  <si>
    <t>053401</t>
  </si>
  <si>
    <t>054433</t>
  </si>
  <si>
    <t>Rakibul Hasan</t>
  </si>
  <si>
    <t>Ha-Meem Design Ltd.</t>
  </si>
  <si>
    <t>054415</t>
  </si>
  <si>
    <t>Nazmul Hassan</t>
  </si>
  <si>
    <t>054501</t>
  </si>
  <si>
    <t>054508</t>
  </si>
  <si>
    <t>Mosharof Hossain Dider</t>
  </si>
  <si>
    <t>054504</t>
  </si>
  <si>
    <t>Shahidul Islam</t>
  </si>
  <si>
    <t>054159</t>
  </si>
  <si>
    <t>Dewan Sadat Rahman</t>
  </si>
  <si>
    <t>054160</t>
  </si>
  <si>
    <t>Nuzhat Tabassum Simin</t>
  </si>
  <si>
    <t>053895</t>
  </si>
  <si>
    <t>Md. Maksudur Rahman</t>
  </si>
  <si>
    <t>053898</t>
  </si>
  <si>
    <t>Sakib Hossain</t>
  </si>
  <si>
    <t>053903</t>
  </si>
  <si>
    <t>Sadia Farzana</t>
  </si>
  <si>
    <t>054418</t>
  </si>
  <si>
    <t>Inamul Haque Sowrav</t>
  </si>
  <si>
    <t>054421</t>
  </si>
  <si>
    <t>Mahamudul Karim</t>
  </si>
  <si>
    <t>054422</t>
  </si>
  <si>
    <t>Md. Rabiul Sany Khan</t>
  </si>
  <si>
    <t>053445</t>
  </si>
  <si>
    <t>Ivan Ravi Sinniah</t>
  </si>
  <si>
    <t>053593</t>
  </si>
  <si>
    <t>Gnanaseeha Ravi Halgahawatta Liyanaarachchi</t>
  </si>
  <si>
    <t>Head Of Production</t>
  </si>
  <si>
    <t>053461</t>
  </si>
  <si>
    <t>Dipankar Das</t>
  </si>
  <si>
    <t>054355</t>
  </si>
  <si>
    <t>Md. Ariful Islam</t>
  </si>
  <si>
    <t>054429</t>
  </si>
  <si>
    <t>Muhammad Gaus Mia</t>
  </si>
  <si>
    <t>Abisheak Shill</t>
  </si>
  <si>
    <t>Md. Farukuzzaman Leeon</t>
  </si>
  <si>
    <t>054799</t>
  </si>
  <si>
    <t>Md. Akkas Ali Munsi</t>
  </si>
  <si>
    <t>054797</t>
  </si>
  <si>
    <t>054802</t>
  </si>
  <si>
    <t>054810</t>
  </si>
  <si>
    <t>Md. Eiasin Mia</t>
  </si>
  <si>
    <t>055407</t>
  </si>
  <si>
    <t>Mohammad Amran Ali</t>
  </si>
  <si>
    <t>055220</t>
  </si>
  <si>
    <t>Md. Samsul Haque Pinku</t>
  </si>
  <si>
    <t>054800</t>
  </si>
  <si>
    <t>Meheli Hassan</t>
  </si>
  <si>
    <t>055408</t>
  </si>
  <si>
    <t>Md. Mohon</t>
  </si>
  <si>
    <t>055380</t>
  </si>
  <si>
    <t>Kowsar Uddin Chowdhury</t>
  </si>
  <si>
    <t>055264</t>
  </si>
  <si>
    <t>Babu Jayaram</t>
  </si>
  <si>
    <t>055093</t>
  </si>
  <si>
    <t>Rezaul Hoque Riaz</t>
  </si>
  <si>
    <t>055095</t>
  </si>
  <si>
    <t>Tanjir Siddiky Mokib</t>
  </si>
  <si>
    <t>055085</t>
  </si>
  <si>
    <t>Mainul Islam</t>
  </si>
  <si>
    <t>055082</t>
  </si>
  <si>
    <t>Md. Tasin Tahmid</t>
  </si>
  <si>
    <t>055421</t>
  </si>
  <si>
    <t>Md. Jamiul Mannan</t>
  </si>
  <si>
    <t>055423</t>
  </si>
  <si>
    <t>Md Ibrahim Khalil</t>
  </si>
  <si>
    <t>054808</t>
  </si>
  <si>
    <t>Rani Sultana</t>
  </si>
  <si>
    <t>Power &amp; Energy</t>
  </si>
  <si>
    <t>Head of Power &amp; Energy</t>
  </si>
  <si>
    <t>055405</t>
  </si>
  <si>
    <t>Md. Billal Hossen</t>
  </si>
  <si>
    <t>055406</t>
  </si>
  <si>
    <t>Md. Maminul Islam</t>
  </si>
  <si>
    <t>055404</t>
  </si>
  <si>
    <t>Md. Ruhul Amin</t>
  </si>
  <si>
    <t>055625</t>
  </si>
  <si>
    <t>Md. Forkan Hossain</t>
  </si>
  <si>
    <t>055269</t>
  </si>
  <si>
    <t>Sumon</t>
  </si>
  <si>
    <t>055626</t>
  </si>
  <si>
    <t>Arfatur Rahman</t>
  </si>
  <si>
    <t>055632</t>
  </si>
  <si>
    <t>Kazi Anika</t>
  </si>
  <si>
    <t>055474</t>
  </si>
  <si>
    <t>Creative Wash Ltd.</t>
  </si>
  <si>
    <t>055910</t>
  </si>
  <si>
    <t>Md. Waliullah</t>
  </si>
  <si>
    <t>055633</t>
  </si>
  <si>
    <t>Md. Rayhan Habib</t>
  </si>
  <si>
    <t>055631</t>
  </si>
  <si>
    <t>Samir Kanti Biswas</t>
  </si>
  <si>
    <t>055770</t>
  </si>
  <si>
    <t>Rubaet Bin Aziz</t>
  </si>
  <si>
    <t>Apperal Gallery Ltd.</t>
  </si>
  <si>
    <t>057323</t>
  </si>
  <si>
    <t>055935</t>
  </si>
  <si>
    <t>Richard Ravichander</t>
  </si>
  <si>
    <t>055931</t>
  </si>
  <si>
    <t>Mustafa Shamim Reza</t>
  </si>
  <si>
    <t>Executive Director</t>
  </si>
  <si>
    <t>055622</t>
  </si>
  <si>
    <t>Md. Adilur Rahman</t>
  </si>
  <si>
    <t>055621</t>
  </si>
  <si>
    <t>Mahmud Hasan</t>
  </si>
  <si>
    <t>Md. Asrafuzzaman Selim</t>
  </si>
  <si>
    <t>055628</t>
  </si>
  <si>
    <t>Soumik Sarker</t>
  </si>
  <si>
    <t>055627</t>
  </si>
  <si>
    <t>057240</t>
  </si>
  <si>
    <t>Md. Fazle Rabby</t>
  </si>
  <si>
    <t>055928</t>
  </si>
  <si>
    <t>Shomir Mohanty Sunny</t>
  </si>
  <si>
    <t>055475</t>
  </si>
  <si>
    <t>59260</t>
  </si>
  <si>
    <t>Md. Limon Muzumdar</t>
  </si>
  <si>
    <t>Messenger</t>
  </si>
  <si>
    <t>MD/ Director</t>
  </si>
  <si>
    <t>059264</t>
  </si>
  <si>
    <t>Md. Abdul Bari</t>
  </si>
  <si>
    <t>059265</t>
  </si>
  <si>
    <t>Asiq Alam Bijoy</t>
  </si>
  <si>
    <t>057473</t>
  </si>
  <si>
    <t>Md. Alomgir Kabir</t>
  </si>
  <si>
    <t>059257</t>
  </si>
  <si>
    <t>Nahiduz Zaman</t>
  </si>
  <si>
    <t>059255</t>
  </si>
  <si>
    <t>Md. Habibur Rohman Rasel</t>
  </si>
  <si>
    <t>059279</t>
  </si>
  <si>
    <t>Tapan Chandra Dhali</t>
  </si>
  <si>
    <t>059262</t>
  </si>
  <si>
    <t>Moin Uddin Siddique</t>
  </si>
  <si>
    <t>057517</t>
  </si>
  <si>
    <t>Md. Baki Billah</t>
  </si>
  <si>
    <t>057489</t>
  </si>
  <si>
    <t>Md. Shohel Rana</t>
  </si>
  <si>
    <t>057462</t>
  </si>
  <si>
    <t>Kasun Thilanka Somasiri Andra Hennadige</t>
  </si>
  <si>
    <t>059399</t>
  </si>
  <si>
    <t>Assistant Merchandiser</t>
  </si>
  <si>
    <t>059390</t>
  </si>
  <si>
    <t>Mir Sawkath Hossain</t>
  </si>
  <si>
    <t>059118</t>
  </si>
  <si>
    <t>Ali Reza Azad</t>
  </si>
  <si>
    <t>059401</t>
  </si>
  <si>
    <t>Samiul Bin Sakib</t>
  </si>
  <si>
    <t>059393</t>
  </si>
  <si>
    <t>059281</t>
  </si>
  <si>
    <t>Md. Tanvir Kamal</t>
  </si>
  <si>
    <t>059287</t>
  </si>
  <si>
    <t>059284</t>
  </si>
  <si>
    <t>059521</t>
  </si>
  <si>
    <t>Md. Ashfiqur Rahman</t>
  </si>
  <si>
    <t>059621</t>
  </si>
  <si>
    <t>Probash Kumar Paul</t>
  </si>
  <si>
    <t>057772</t>
  </si>
  <si>
    <t>Milan Ranjana Gunathilake Herath Mudiyanselage</t>
  </si>
  <si>
    <t>057771</t>
  </si>
  <si>
    <t>Saranga Ashoka Bandara Kiridena</t>
  </si>
  <si>
    <t>057439</t>
  </si>
  <si>
    <t>Fauji Chat Kal</t>
  </si>
  <si>
    <t>057437</t>
  </si>
  <si>
    <t>Md. Yeasin Molla</t>
  </si>
  <si>
    <t>057470</t>
  </si>
  <si>
    <t>Md. Rifat Hasan Nahid</t>
  </si>
  <si>
    <t>057697</t>
  </si>
  <si>
    <t>Al-Amin</t>
  </si>
  <si>
    <t>057549</t>
  </si>
  <si>
    <t>Giash Uddin Nirob</t>
  </si>
  <si>
    <t>062808</t>
  </si>
  <si>
    <t>Mohammad Naimul Islam</t>
  </si>
  <si>
    <t>062809</t>
  </si>
  <si>
    <t>Sagur Mahamod</t>
  </si>
  <si>
    <t>061358</t>
  </si>
  <si>
    <t>Rahul Bhowmick</t>
  </si>
  <si>
    <t>059805</t>
  </si>
  <si>
    <t>Quality Assurance</t>
  </si>
  <si>
    <t>059787</t>
  </si>
  <si>
    <t>Robiul Alom</t>
  </si>
  <si>
    <t>059788</t>
  </si>
  <si>
    <t>Md. Sumon Howlader</t>
  </si>
  <si>
    <t>059864</t>
  </si>
  <si>
    <t>Roton Kumar Biswas</t>
  </si>
  <si>
    <t>062337</t>
  </si>
  <si>
    <t>Najir Hossain</t>
  </si>
  <si>
    <t>Computer Operator</t>
  </si>
  <si>
    <t>062333</t>
  </si>
  <si>
    <t>Md. Nayem</t>
  </si>
  <si>
    <t>062335</t>
  </si>
  <si>
    <t>Md. Shohag</t>
  </si>
  <si>
    <t>060338</t>
  </si>
  <si>
    <t>Abu Masud Khan</t>
  </si>
  <si>
    <t>066133</t>
  </si>
  <si>
    <t>Masudur Rahman</t>
  </si>
  <si>
    <t>Director/ Group DMD</t>
  </si>
  <si>
    <t>065768</t>
  </si>
  <si>
    <t>Abdullah Al Mamun</t>
  </si>
  <si>
    <t>065770</t>
  </si>
  <si>
    <t>Sadman Tayin</t>
  </si>
  <si>
    <t>063040</t>
  </si>
  <si>
    <t>Md. Sazzad Hossain</t>
  </si>
  <si>
    <t>065762</t>
  </si>
  <si>
    <t>Tarif Md. Saif</t>
  </si>
  <si>
    <t>065904</t>
  </si>
  <si>
    <t>Md. Tanjirul Islam Tamal</t>
  </si>
  <si>
    <t>066267</t>
  </si>
  <si>
    <t>Md. Aslam Hossain</t>
  </si>
  <si>
    <t>065751</t>
  </si>
  <si>
    <t>Md. Sihab-Al-Ahasan Sopnil</t>
  </si>
  <si>
    <t>065749</t>
  </si>
  <si>
    <t>063048</t>
  </si>
  <si>
    <t>K.M Tonmoy Ahasan</t>
  </si>
  <si>
    <t>063023</t>
  </si>
  <si>
    <t>063031</t>
  </si>
  <si>
    <t>063018</t>
  </si>
  <si>
    <t>Masrakul Azam Rabi</t>
  </si>
  <si>
    <t>065746</t>
  </si>
  <si>
    <t>Land &amp; Estate</t>
  </si>
  <si>
    <t>065902</t>
  </si>
  <si>
    <t>Ashfaqur Rahman</t>
  </si>
  <si>
    <t>065903</t>
  </si>
  <si>
    <t>Nasrin Sultana</t>
  </si>
  <si>
    <t>063036</t>
  </si>
  <si>
    <t>Farjana Akter</t>
  </si>
  <si>
    <t>065769</t>
  </si>
  <si>
    <t>Sharmin Jahan</t>
  </si>
  <si>
    <t>065765</t>
  </si>
  <si>
    <t>Shadin Mia</t>
  </si>
  <si>
    <t>Sample Coordinator</t>
  </si>
  <si>
    <t>Manager, Merchandising</t>
  </si>
  <si>
    <t>065737</t>
  </si>
  <si>
    <t>Mohammad Ali</t>
  </si>
  <si>
    <t>065736</t>
  </si>
  <si>
    <t>Md. Tawhidul Islam</t>
  </si>
  <si>
    <t>065759</t>
  </si>
  <si>
    <t>A.R.M Shaikat</t>
  </si>
  <si>
    <t>065753</t>
  </si>
  <si>
    <t>Khan Md. Fazlul Huq</t>
  </si>
  <si>
    <t>063045</t>
  </si>
  <si>
    <t>Sk Murad Hossain</t>
  </si>
  <si>
    <t>066266</t>
  </si>
  <si>
    <t>Md. Dulal Miah</t>
  </si>
  <si>
    <t>Md. Jamal Mondol</t>
  </si>
  <si>
    <t>Rajib Chakraborty</t>
  </si>
  <si>
    <t>count</t>
  </si>
  <si>
    <t>Row Labels</t>
  </si>
  <si>
    <t>Grand Total</t>
  </si>
  <si>
    <t>Sum of count</t>
  </si>
  <si>
    <t>Month</t>
  </si>
  <si>
    <t>General Manager, LHTE</t>
  </si>
  <si>
    <t>General Manager, Merchandising</t>
  </si>
  <si>
    <t>Sr. General Manager, Sales &amp; Marketing</t>
  </si>
  <si>
    <t>General Manager, Finance &amp; Accounts</t>
  </si>
  <si>
    <t>General Manager, Design &amp; Development</t>
  </si>
  <si>
    <t>General Manager, Admin</t>
  </si>
  <si>
    <t>General Manager, Engineering</t>
  </si>
  <si>
    <t>Finance &amp; Accounts</t>
  </si>
  <si>
    <t xml:space="preserve">Procurement &amp; Development </t>
  </si>
  <si>
    <t>Trainee Officer</t>
  </si>
  <si>
    <t>Assistant General Manager, Commercial</t>
  </si>
  <si>
    <t>Assistant General Manager</t>
  </si>
  <si>
    <t>Assistant General Manager, Merchandising</t>
  </si>
  <si>
    <t>Assistant General Manager, ERP</t>
  </si>
  <si>
    <t>Assistant General Manager, Merchandisng</t>
  </si>
  <si>
    <t>Sub Assistant Engineer</t>
  </si>
  <si>
    <t>Deputy General Manager, Admin</t>
  </si>
  <si>
    <t>Deputy General Manager</t>
  </si>
  <si>
    <t>Deputy General Manager, Merchandising</t>
  </si>
  <si>
    <t>Deputy General Manager, Procurement &amp; Development</t>
  </si>
  <si>
    <t>Deputy General Manager, Commercial</t>
  </si>
  <si>
    <t>Deputy General Manager (Electrical), Power &amp; Energy</t>
  </si>
  <si>
    <t>Senior Merchandiser</t>
  </si>
  <si>
    <t xml:space="preserve">Officer </t>
  </si>
  <si>
    <t>Assistant Manager, Design &amp; Development</t>
  </si>
  <si>
    <t>Assistant Manager, Accessories Procurement</t>
  </si>
  <si>
    <t>Senior Officer</t>
  </si>
  <si>
    <t>Senior Manager</t>
  </si>
  <si>
    <t>Assistant Officer</t>
  </si>
  <si>
    <t xml:space="preserve">General Manager </t>
  </si>
  <si>
    <t>Unit</t>
  </si>
  <si>
    <t xml:space="preserve">Assistant Manager </t>
  </si>
  <si>
    <t>Executive Director, DSW</t>
  </si>
  <si>
    <t>Executive Director, Finance &amp; Accounts</t>
  </si>
  <si>
    <t>Executive Director, PPC</t>
  </si>
  <si>
    <t>Executive Director, PSM</t>
  </si>
  <si>
    <t>Sr. Executive Director, HO</t>
  </si>
  <si>
    <t>Executive Director, Legal</t>
  </si>
  <si>
    <t xml:space="preserve">Engineer </t>
  </si>
  <si>
    <t>Assistant Software Engineer</t>
  </si>
  <si>
    <t>Chief Information Officer</t>
  </si>
  <si>
    <t>Operator</t>
  </si>
  <si>
    <t>Chief Operating Officer</t>
  </si>
  <si>
    <t>Human Resources</t>
  </si>
  <si>
    <t>Director, Human Resources</t>
  </si>
  <si>
    <t>Deputy General Manager, Human Resources</t>
  </si>
  <si>
    <t>General Manager, Human Resources</t>
  </si>
  <si>
    <t>Manager, Human Resources</t>
  </si>
  <si>
    <t>Assistant General Manager, Human Resources</t>
  </si>
  <si>
    <t>ERP</t>
  </si>
  <si>
    <t>That's Information Technology Fashion Ltd.</t>
  </si>
  <si>
    <t>Information Technology</t>
  </si>
  <si>
    <t>Assistant General Manager, Information Technology</t>
  </si>
  <si>
    <t>Deputy General Manager, Information Technology &amp; Admin</t>
  </si>
  <si>
    <t>Information Technology Incharge</t>
  </si>
  <si>
    <t>Executive Director, Information Technology</t>
  </si>
  <si>
    <t>Assistant General Manager, Procurement &amp; Development</t>
  </si>
  <si>
    <t>Head Office</t>
  </si>
  <si>
    <t>Senior Executive Director</t>
  </si>
  <si>
    <t>Senior General Manager, Commercial</t>
  </si>
  <si>
    <t>Executive Director, Admin</t>
  </si>
  <si>
    <t>Assistant General Manager, Engineering</t>
  </si>
  <si>
    <t>Senior Executive Director, HTZ</t>
  </si>
  <si>
    <t>Senior General Manager, Merchandising</t>
  </si>
  <si>
    <t>Deputy General Manager Production &amp; Development</t>
  </si>
  <si>
    <t>Officer, Finance &amp; Accounts</t>
  </si>
  <si>
    <t>Executive Director, Ashulia</t>
  </si>
  <si>
    <t>Executive Director, Zonal</t>
  </si>
  <si>
    <t>That's It Ltd.</t>
  </si>
  <si>
    <t xml:space="preserve">New </t>
  </si>
  <si>
    <t>Bogra</t>
  </si>
  <si>
    <t>Mirzapur</t>
  </si>
  <si>
    <t>Management Trainee Officer</t>
  </si>
  <si>
    <t>Senior General Manager</t>
  </si>
  <si>
    <t>Guard</t>
  </si>
  <si>
    <t>Guard cum Fire Fighter</t>
  </si>
  <si>
    <t>Coordinator</t>
  </si>
  <si>
    <t>Engineer</t>
  </si>
  <si>
    <t>Designations</t>
  </si>
  <si>
    <t>Location</t>
  </si>
  <si>
    <t>Md</t>
  </si>
  <si>
    <t>Md/Director</t>
  </si>
  <si>
    <t>Year</t>
  </si>
  <si>
    <t>A1000</t>
  </si>
  <si>
    <t>A4000</t>
  </si>
  <si>
    <t>A60402</t>
  </si>
  <si>
    <t>A53023</t>
  </si>
  <si>
    <t>A23213</t>
  </si>
  <si>
    <t>A43343</t>
  </si>
  <si>
    <t>Sumith Nandana Jayasuriya Mudalige</t>
  </si>
  <si>
    <t>Reza Md. Shehab Uddin Sharawardi</t>
  </si>
  <si>
    <t>Md. Feroz Kobir Prodhan</t>
  </si>
  <si>
    <t>A4002</t>
  </si>
  <si>
    <t>A4003</t>
  </si>
  <si>
    <t>Wash</t>
  </si>
  <si>
    <t>That's It Knit Ltd</t>
  </si>
  <si>
    <t>Gross in USD</t>
  </si>
  <si>
    <t>Sum of Gross</t>
  </si>
  <si>
    <t>Yeasin Ahamed Shuvo</t>
  </si>
  <si>
    <t>Md. Sourab Hossain</t>
  </si>
  <si>
    <t>Mode of vacancy</t>
  </si>
  <si>
    <t>January</t>
  </si>
  <si>
    <t>February</t>
  </si>
  <si>
    <t>March</t>
  </si>
  <si>
    <t>April</t>
  </si>
  <si>
    <t>May</t>
  </si>
  <si>
    <t>June</t>
  </si>
  <si>
    <t>July</t>
  </si>
  <si>
    <t>August</t>
  </si>
  <si>
    <t>September</t>
  </si>
  <si>
    <t>October</t>
  </si>
  <si>
    <t>Total</t>
  </si>
  <si>
    <t>Md. Besal Ahmed</t>
  </si>
  <si>
    <t>Highest Salary</t>
  </si>
  <si>
    <t>Lowest Salary</t>
  </si>
  <si>
    <t>Count of Unit/ Factory</t>
  </si>
  <si>
    <t>D</t>
  </si>
  <si>
    <t>Max of Gross</t>
  </si>
  <si>
    <t>Min of Gross2</t>
  </si>
  <si>
    <t>Average Salary</t>
  </si>
  <si>
    <t>Average of Gross</t>
  </si>
  <si>
    <t>November</t>
  </si>
  <si>
    <t>December</t>
  </si>
  <si>
    <t>Min of Gross</t>
  </si>
  <si>
    <t>Sujit Ram Kavathekar</t>
  </si>
  <si>
    <t>Audit</t>
  </si>
  <si>
    <t>Koddithuwakku Aratchige Chamindra Rajitha Angulugaha</t>
  </si>
  <si>
    <t>Md. Toukir Ahammed</t>
  </si>
  <si>
    <t>Md. Shakil Ahmed</t>
  </si>
  <si>
    <t>Md. Foysal Ahmed</t>
  </si>
  <si>
    <t>Alamgir Khaled</t>
  </si>
  <si>
    <t>S. M. Sultan Ahmed</t>
  </si>
  <si>
    <t>Khaled Akter Maya</t>
  </si>
  <si>
    <t>Udoy Chand Pandit</t>
  </si>
  <si>
    <t>Olle Ullah Ahammed</t>
  </si>
  <si>
    <t>Hridoy Kumer Das</t>
  </si>
  <si>
    <t>Nihrin Akter Bushra</t>
  </si>
  <si>
    <t>Mehrab Hossain Arnab</t>
  </si>
  <si>
    <t>Rashed  Islam</t>
  </si>
  <si>
    <t>Md. Tamzit Ahmed</t>
  </si>
  <si>
    <t>Ali Shahryar</t>
  </si>
  <si>
    <t>Amit Ghosh</t>
  </si>
  <si>
    <t>Sahrin Saima Samanta</t>
  </si>
  <si>
    <t>Hazem Osama Mohamed Zaky</t>
  </si>
  <si>
    <t xml:space="preserve">Imran Ahmed </t>
  </si>
  <si>
    <t>Saed Ul Islam Sazil</t>
  </si>
  <si>
    <t>Foysal Ahmed  Shourav</t>
  </si>
  <si>
    <t>Md. Kawsher Ahmed Director</t>
  </si>
  <si>
    <t>Hisma Sumait Arpa</t>
  </si>
  <si>
    <t>Ahmed Zobaier Sourav</t>
  </si>
  <si>
    <t xml:space="preserve">Suzana Abed </t>
  </si>
  <si>
    <t>Dasagir Ahmed Sagor</t>
  </si>
  <si>
    <t>Rahat Ahmed Raju</t>
  </si>
  <si>
    <t>Mehedi Hasan Robin</t>
  </si>
  <si>
    <t>Firuz Ahammed</t>
  </si>
  <si>
    <t>Vogra</t>
  </si>
  <si>
    <t>Security Guard</t>
  </si>
  <si>
    <t>Security Guard Cum Fire Fighter</t>
  </si>
  <si>
    <t>Sylhet Planters</t>
  </si>
  <si>
    <t>Security Incharge</t>
  </si>
  <si>
    <t>Mohammad Ashraful Islam</t>
  </si>
  <si>
    <t>Executive Director, Audit</t>
  </si>
  <si>
    <t>General Manager, Design Studio</t>
  </si>
  <si>
    <t>Executive Director,  Ashulia</t>
  </si>
  <si>
    <t>Executive Director, Engineering</t>
  </si>
  <si>
    <t>Head of Quality Assurance</t>
  </si>
  <si>
    <t>059865</t>
  </si>
  <si>
    <t>Sohel Gaji</t>
  </si>
  <si>
    <t>060532</t>
  </si>
  <si>
    <t>Solaiman</t>
  </si>
  <si>
    <t>059870</t>
  </si>
  <si>
    <t>Syed Abu Sadat Mohammed Sayem</t>
  </si>
  <si>
    <t>062349</t>
  </si>
  <si>
    <t>Md. Mehedi Hasan</t>
  </si>
  <si>
    <t>062568</t>
  </si>
  <si>
    <t>Md. Ariful Hoque Rian</t>
  </si>
  <si>
    <t>059868</t>
  </si>
  <si>
    <t>Tanjila Tabasum</t>
  </si>
  <si>
    <t>062342</t>
  </si>
  <si>
    <t>Md. Shafiul Alam</t>
  </si>
  <si>
    <t>059862</t>
  </si>
  <si>
    <t>Shapla Sultana</t>
  </si>
  <si>
    <t>GM, Engineering</t>
  </si>
  <si>
    <t>062795</t>
  </si>
  <si>
    <t>Mahmood</t>
  </si>
  <si>
    <t>059698</t>
  </si>
  <si>
    <t>A.K.M. Mohiuddin</t>
  </si>
  <si>
    <t>059860</t>
  </si>
  <si>
    <t>Md. Zakaria Hossain</t>
  </si>
  <si>
    <t>059871</t>
  </si>
  <si>
    <t>Zahidul Islam</t>
  </si>
  <si>
    <t>059863</t>
  </si>
  <si>
    <t>A.S.M. Abdul Gofur</t>
  </si>
  <si>
    <t>Shahzaib Washing &amp; Dyeing Ltd.</t>
  </si>
  <si>
    <t>062320</t>
  </si>
  <si>
    <t>Sanoar Sany</t>
  </si>
  <si>
    <t>062318</t>
  </si>
  <si>
    <t>Md. Mehedi Murad Munshi</t>
  </si>
  <si>
    <t>062326</t>
  </si>
  <si>
    <t>Kaicobad Hassan</t>
  </si>
  <si>
    <t>Software Engineer</t>
  </si>
  <si>
    <t>062292</t>
  </si>
  <si>
    <t>Md. Rezaul Karim Bishwas</t>
  </si>
  <si>
    <t>062804</t>
  </si>
  <si>
    <t>Minhaj Shawon</t>
  </si>
  <si>
    <t>EDI Coordinator</t>
  </si>
  <si>
    <t>GM, Admin</t>
  </si>
  <si>
    <t>DGM, Commercial</t>
  </si>
  <si>
    <t>Assistant Manager, Design Studio</t>
  </si>
  <si>
    <t>Assistant General Manager, Design &amp; Development</t>
  </si>
  <si>
    <t>Asssitant General Manager, ERP</t>
  </si>
  <si>
    <t>Assistant General Manager, Ashulia</t>
  </si>
  <si>
    <t>Executive Director, NCL</t>
  </si>
  <si>
    <t>Junior Site Engineer</t>
  </si>
  <si>
    <t>Fakhrul Islam</t>
  </si>
  <si>
    <t>Management</t>
  </si>
  <si>
    <t>Zafreed Iqbal</t>
  </si>
  <si>
    <t>Senior General Manager, Sales &amp; Marketing</t>
  </si>
  <si>
    <t>Media Cell, Admin</t>
  </si>
  <si>
    <t>Max of Gross2</t>
  </si>
  <si>
    <t>Average of Gross3</t>
  </si>
  <si>
    <t>Legal</t>
  </si>
  <si>
    <t>Production Planning</t>
  </si>
  <si>
    <t>Industrial Engineering</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</si>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</sst>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mmmm\ d\,\ yyyy;@"/>
  </numFmts>
  <fonts count="10" x14ac:knownFonts="1">
    <font>
      <sz val="11"/>
      <color theme="1"/>
      <name val="Calibri"/>
      <family val="2"/>
      <scheme val="minor"/>
    </font>
    <font>
      <b/>
      <sz val="11"/>
      <color theme="0"/>
      <name val="Calibri"/>
      <family val="2"/>
      <scheme val="minor"/>
    </font>
    <font>
      <sz val="11"/>
      <color theme="0"/>
      <name val="Calibri"/>
      <family val="2"/>
      <scheme val="minor"/>
    </font>
    <font>
      <sz val="18"/>
      <color theme="1"/>
      <name val="Calibri"/>
      <family val="2"/>
      <scheme val="minor"/>
    </font>
    <font>
      <b/>
      <sz val="14"/>
      <color theme="1"/>
      <name val="Calibri"/>
      <family val="2"/>
      <scheme val="minor"/>
    </font>
    <font>
      <sz val="11"/>
      <color rgb="FF000000"/>
      <name val="Calibri"/>
      <family val="2"/>
    </font>
    <font>
      <b/>
      <sz val="18"/>
      <color theme="1"/>
      <name val="Calibri"/>
      <family val="2"/>
      <scheme val="minor"/>
    </font>
    <font>
      <sz val="12"/>
      <color theme="1"/>
      <name val="Calibri"/>
      <family val="2"/>
      <scheme val="minor"/>
    </font>
    <font>
      <b/>
      <sz val="9"/>
      <color indexed="81"/>
      <name val="Tahoma"/>
      <family val="2"/>
    </font>
    <font>
      <sz val="9"/>
      <color indexed="81"/>
      <name val="Tahoma"/>
      <family val="2"/>
    </font>
  </fonts>
  <fills count="7">
    <fill>
      <patternFill patternType="none"/>
    </fill>
    <fill>
      <patternFill patternType="gray125"/>
    </fill>
    <fill>
      <patternFill patternType="solid">
        <fgColor rgb="FFFFFF00"/>
        <bgColor indexed="64"/>
      </patternFill>
    </fill>
    <fill>
      <patternFill patternType="solid">
        <fgColor theme="4"/>
        <bgColor theme="4"/>
      </patternFill>
    </fill>
    <fill>
      <patternFill patternType="solid">
        <fgColor rgb="FF00B050"/>
        <bgColor indexed="64"/>
      </patternFill>
    </fill>
    <fill>
      <patternFill patternType="solid">
        <fgColor theme="4"/>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45">
    <xf numFmtId="0" fontId="0" fillId="0" borderId="0" xfId="0"/>
    <xf numFmtId="0" fontId="0" fillId="0" borderId="0" xfId="0" pivotButton="1"/>
    <xf numFmtId="0" fontId="0" fillId="0" borderId="0" xfId="0" applyNumberFormat="1"/>
    <xf numFmtId="164" fontId="0" fillId="0" borderId="0" xfId="0" applyNumberFormat="1"/>
    <xf numFmtId="164" fontId="0" fillId="0" borderId="0" xfId="0" applyNumberFormat="1" applyAlignment="1">
      <alignment horizontal="left"/>
    </xf>
    <xf numFmtId="0" fontId="0" fillId="0" borderId="0" xfId="0" applyAlignment="1">
      <alignment horizontal="left"/>
    </xf>
    <xf numFmtId="0" fontId="0" fillId="2" borderId="0" xfId="0" applyFill="1"/>
    <xf numFmtId="164" fontId="0" fillId="2" borderId="0" xfId="0" applyNumberFormat="1" applyFill="1"/>
    <xf numFmtId="0" fontId="0" fillId="0" borderId="0" xfId="0" applyBorder="1"/>
    <xf numFmtId="14" fontId="1" fillId="3" borderId="1" xfId="0" applyNumberFormat="1" applyFont="1" applyFill="1" applyBorder="1" applyAlignment="1">
      <alignment horizontal="left" vertical="center"/>
    </xf>
    <xf numFmtId="0" fontId="0" fillId="0" borderId="1" xfId="0" applyBorder="1"/>
    <xf numFmtId="2" fontId="1" fillId="3" borderId="1" xfId="0" applyNumberFormat="1" applyFont="1" applyFill="1" applyBorder="1" applyAlignment="1">
      <alignment horizontal="left" vertical="center"/>
    </xf>
    <xf numFmtId="0" fontId="1" fillId="3" borderId="1" xfId="0" applyFont="1" applyFill="1" applyBorder="1" applyAlignment="1">
      <alignment horizontal="left" vertical="center"/>
    </xf>
    <xf numFmtId="0" fontId="0" fillId="4" borderId="0" xfId="0" applyFill="1"/>
    <xf numFmtId="0" fontId="2" fillId="5" borderId="0" xfId="0" applyFont="1" applyFill="1"/>
    <xf numFmtId="0" fontId="0" fillId="6" borderId="0" xfId="0" applyFill="1"/>
    <xf numFmtId="0" fontId="0" fillId="6" borderId="1" xfId="0" applyFill="1" applyBorder="1"/>
    <xf numFmtId="0" fontId="4" fillId="0" borderId="0" xfId="0" applyFont="1"/>
    <xf numFmtId="1" fontId="0" fillId="0" borderId="0" xfId="0" applyNumberFormat="1" applyAlignment="1">
      <alignment horizontal="right"/>
    </xf>
    <xf numFmtId="1" fontId="0" fillId="2" borderId="0" xfId="0" applyNumberFormat="1" applyFill="1" applyAlignment="1">
      <alignment horizontal="right"/>
    </xf>
    <xf numFmtId="0" fontId="0" fillId="2" borderId="0" xfId="0" applyNumberFormat="1" applyFill="1"/>
    <xf numFmtId="1" fontId="0" fillId="0" borderId="0" xfId="0" applyNumberFormat="1"/>
    <xf numFmtId="1" fontId="0" fillId="2" borderId="0" xfId="0" applyNumberFormat="1" applyFill="1"/>
    <xf numFmtId="0" fontId="3" fillId="0" borderId="0" xfId="0" applyFont="1" applyAlignment="1">
      <alignment horizontal="center"/>
    </xf>
    <xf numFmtId="0" fontId="0" fillId="0" borderId="0" xfId="0" applyFill="1"/>
    <xf numFmtId="164" fontId="0" fillId="0" borderId="0" xfId="0" applyNumberFormat="1" applyFill="1"/>
    <xf numFmtId="1" fontId="0" fillId="0" borderId="0" xfId="0" applyNumberFormat="1" applyFill="1" applyAlignment="1">
      <alignment horizontal="right"/>
    </xf>
    <xf numFmtId="1" fontId="0" fillId="0" borderId="0" xfId="0" applyNumberFormat="1" applyFill="1"/>
    <xf numFmtId="0" fontId="0" fillId="0" borderId="0" xfId="0" applyNumberFormat="1" applyFill="1"/>
    <xf numFmtId="14" fontId="0" fillId="0" borderId="0" xfId="0" applyNumberFormat="1" applyAlignment="1">
      <alignment horizontal="left"/>
    </xf>
    <xf numFmtId="0" fontId="6" fillId="0" borderId="0" xfId="0" applyFont="1"/>
    <xf numFmtId="0" fontId="7" fillId="0" borderId="0" xfId="0" applyFont="1"/>
    <xf numFmtId="1" fontId="7" fillId="0" borderId="0" xfId="0" applyNumberFormat="1" applyFont="1"/>
    <xf numFmtId="2" fontId="7" fillId="0" borderId="0" xfId="0" applyNumberFormat="1" applyFont="1"/>
    <xf numFmtId="1" fontId="0" fillId="0" borderId="0" xfId="0" applyNumberFormat="1" applyAlignment="1">
      <alignment horizontal="left"/>
    </xf>
    <xf numFmtId="164" fontId="0" fillId="2" borderId="0" xfId="0" applyNumberFormat="1" applyFill="1" applyAlignment="1">
      <alignment horizontal="left"/>
    </xf>
    <xf numFmtId="164" fontId="0" fillId="0" borderId="0" xfId="0" applyNumberFormat="1" applyFill="1" applyAlignment="1">
      <alignment horizontal="left"/>
    </xf>
    <xf numFmtId="0" fontId="4" fillId="0" borderId="0" xfId="0" applyFont="1" applyAlignment="1">
      <alignment horizontal="center"/>
    </xf>
    <xf numFmtId="1" fontId="0" fillId="2" borderId="0" xfId="0" applyNumberFormat="1" applyFill="1" applyAlignment="1">
      <alignment horizontal="left"/>
    </xf>
    <xf numFmtId="0" fontId="1" fillId="3" borderId="2" xfId="0" applyFont="1" applyFill="1" applyBorder="1" applyAlignment="1">
      <alignment horizontal="left" vertical="center"/>
    </xf>
    <xf numFmtId="0" fontId="0" fillId="0" borderId="3" xfId="0" applyBorder="1"/>
    <xf numFmtId="0" fontId="4" fillId="0" borderId="0" xfId="0" applyFont="1" applyAlignment="1">
      <alignment horizontal="center"/>
    </xf>
    <xf numFmtId="0" fontId="3" fillId="0" borderId="0" xfId="0" applyFont="1" applyAlignment="1">
      <alignment horizontal="center"/>
    </xf>
    <xf numFmtId="14" fontId="3" fillId="0" borderId="0" xfId="0" applyNumberFormat="1" applyFont="1" applyAlignment="1">
      <alignment horizontal="center"/>
    </xf>
    <xf numFmtId="0" fontId="4" fillId="0" borderId="0" xfId="0" applyFont="1" applyAlignment="1">
      <alignment horizontal="center"/>
    </xf>
  </cellXfs>
  <cellStyles count="1">
    <cellStyle name="Normal" xfId="0" builtinId="0"/>
  </cellStyles>
  <dxfs count="5">
    <dxf>
      <numFmt numFmtId="1" formatCode="0"/>
    </dxf>
    <dxf>
      <numFmt numFmtId="1" formatCode="0"/>
    </dxf>
    <dxf>
      <numFmt numFmtId="164" formatCode="[$-409]mmmm\ d\,\ yyyy;@"/>
    </dxf>
    <dxf>
      <numFmt numFmtId="1" formatCode="0"/>
      <alignment horizontal="right" vertical="bottom" textRotation="0" wrapText="0" indent="0" justifyLastLine="0" shrinkToFit="0" readingOrder="0"/>
    </dxf>
    <dxf>
      <numFmt numFmtId="164" formatCode="[$-409]mmmm\ d\,\ yyyy;@"/>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3.xml"/><Relationship Id="rId26" Type="http://schemas.microsoft.com/office/2007/relationships/slicerCache" Target="slicerCaches/slicerCache11.xml"/><Relationship Id="rId3" Type="http://schemas.openxmlformats.org/officeDocument/2006/relationships/worksheet" Target="worksheets/sheet3.xml"/><Relationship Id="rId21" Type="http://schemas.microsoft.com/office/2007/relationships/slicerCache" Target="slicerCaches/slicerCache6.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microsoft.com/office/2007/relationships/slicerCache" Target="slicerCaches/slicerCache10.xml"/><Relationship Id="rId33" Type="http://schemas.openxmlformats.org/officeDocument/2006/relationships/styles" Target="styles.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microsoft.com/office/2007/relationships/slicerCache" Target="slicerCaches/slicerCache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9.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8.xml"/><Relationship Id="rId28" Type="http://schemas.microsoft.com/office/2007/relationships/slicerCache" Target="slicerCaches/slicerCache13.xml"/><Relationship Id="rId36"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4.xml"/><Relationship Id="rId31" Type="http://schemas.microsoft.com/office/2007/relationships/slicerCache" Target="slicerCaches/slicerCache1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7.xml"/><Relationship Id="rId27" Type="http://schemas.microsoft.com/office/2007/relationships/slicerCache" Target="slicerCaches/slicerCache12.xml"/><Relationship Id="rId30" Type="http://schemas.microsoft.com/office/2007/relationships/slicerCache" Target="slicerCaches/slicerCache15.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latest.xlsm]Unit Pivot Month!PivotTable1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Wise Hiring Status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'Unit Pivot Month'!$B$3</c:f>
              <c:strCache>
                <c:ptCount val="1"/>
                <c:pt idx="0">
                  <c:v>Total</c:v>
                </c:pt>
              </c:strCache>
            </c:strRef>
          </c:tx>
          <c:spPr>
            <a:solidFill>
              <a:schemeClr val="accent1"/>
            </a:solidFill>
            <a:ln>
              <a:noFill/>
            </a:ln>
            <a:effectLst/>
          </c:spPr>
          <c:invertIfNegative val="0"/>
          <c:dLbls>
            <c:delete val="1"/>
          </c:dLbls>
          <c:cat>
            <c:strRef>
              <c:f>'Unit Pivot Month'!$A$4:$A$14</c:f>
              <c:strCache>
                <c:ptCount val="10"/>
                <c:pt idx="0">
                  <c:v>January</c:v>
                </c:pt>
                <c:pt idx="1">
                  <c:v>February</c:v>
                </c:pt>
                <c:pt idx="2">
                  <c:v>March</c:v>
                </c:pt>
                <c:pt idx="3">
                  <c:v>April</c:v>
                </c:pt>
                <c:pt idx="4">
                  <c:v>May</c:v>
                </c:pt>
                <c:pt idx="5">
                  <c:v>June</c:v>
                </c:pt>
                <c:pt idx="6">
                  <c:v>July</c:v>
                </c:pt>
                <c:pt idx="7">
                  <c:v>August</c:v>
                </c:pt>
                <c:pt idx="8">
                  <c:v>September</c:v>
                </c:pt>
                <c:pt idx="9">
                  <c:v>October</c:v>
                </c:pt>
              </c:strCache>
            </c:strRef>
          </c:cat>
          <c:val>
            <c:numRef>
              <c:f>'Unit Pivot Month'!$B$4:$B$14</c:f>
              <c:numCache>
                <c:formatCode>General</c:formatCode>
                <c:ptCount val="10"/>
                <c:pt idx="0">
                  <c:v>42</c:v>
                </c:pt>
                <c:pt idx="1">
                  <c:v>33</c:v>
                </c:pt>
                <c:pt idx="2">
                  <c:v>21</c:v>
                </c:pt>
                <c:pt idx="3">
                  <c:v>22</c:v>
                </c:pt>
                <c:pt idx="4">
                  <c:v>45</c:v>
                </c:pt>
                <c:pt idx="5">
                  <c:v>20</c:v>
                </c:pt>
                <c:pt idx="6">
                  <c:v>21</c:v>
                </c:pt>
                <c:pt idx="7">
                  <c:v>28</c:v>
                </c:pt>
                <c:pt idx="8">
                  <c:v>29</c:v>
                </c:pt>
                <c:pt idx="9">
                  <c:v>28</c:v>
                </c:pt>
              </c:numCache>
            </c:numRef>
          </c:val>
          <c:extLst>
            <c:ext xmlns:c16="http://schemas.microsoft.com/office/drawing/2014/chart" uri="{C3380CC4-5D6E-409C-BE32-E72D297353CC}">
              <c16:uniqueId val="{00000000-0B1B-453D-844D-9AFA037BF4E8}"/>
            </c:ext>
          </c:extLst>
        </c:ser>
        <c:dLbls>
          <c:dLblPos val="outEnd"/>
          <c:showLegendKey val="0"/>
          <c:showVal val="1"/>
          <c:showCatName val="0"/>
          <c:showSerName val="0"/>
          <c:showPercent val="0"/>
          <c:showBubbleSize val="0"/>
        </c:dLbls>
        <c:gapWidth val="219"/>
        <c:overlap val="-27"/>
        <c:axId val="468609984"/>
        <c:axId val="468610400"/>
      </c:barChart>
      <c:catAx>
        <c:axId val="468609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10400"/>
        <c:crosses val="autoZero"/>
        <c:auto val="1"/>
        <c:lblAlgn val="ctr"/>
        <c:lblOffset val="100"/>
        <c:noMultiLvlLbl val="0"/>
      </c:catAx>
      <c:valAx>
        <c:axId val="4686104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099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latest.xlsm]Unit Pivot!PivotTable7</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a:t>
            </a:r>
            <a:r>
              <a:rPr lang="en-US" baseline="0"/>
              <a:t> Wise Hiring Status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'Unit 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'Unit Pivot'!$A$4:$A$15</c:f>
              <c:strCache>
                <c:ptCount val="11"/>
                <c:pt idx="0">
                  <c:v>Ashulia</c:v>
                </c:pt>
                <c:pt idx="1">
                  <c:v>Faridpur</c:v>
                </c:pt>
                <c:pt idx="2">
                  <c:v>Fauji Chat Kal</c:v>
                </c:pt>
                <c:pt idx="3">
                  <c:v>Head Office</c:v>
                </c:pt>
                <c:pt idx="4">
                  <c:v>Kaliganj</c:v>
                </c:pt>
                <c:pt idx="5">
                  <c:v>Mawna</c:v>
                </c:pt>
                <c:pt idx="6">
                  <c:v>Mirzapur</c:v>
                </c:pt>
                <c:pt idx="7">
                  <c:v>Sylhet</c:v>
                </c:pt>
                <c:pt idx="8">
                  <c:v>Tongi</c:v>
                </c:pt>
                <c:pt idx="9">
                  <c:v>Vogra</c:v>
                </c:pt>
                <c:pt idx="10">
                  <c:v>Zirani</c:v>
                </c:pt>
              </c:strCache>
            </c:strRef>
          </c:cat>
          <c:val>
            <c:numRef>
              <c:f>'Unit Pivot'!$B$4:$B$15</c:f>
              <c:numCache>
                <c:formatCode>General</c:formatCode>
                <c:ptCount val="11"/>
                <c:pt idx="0">
                  <c:v>35</c:v>
                </c:pt>
                <c:pt idx="1">
                  <c:v>6</c:v>
                </c:pt>
                <c:pt idx="2">
                  <c:v>8</c:v>
                </c:pt>
                <c:pt idx="3">
                  <c:v>143</c:v>
                </c:pt>
                <c:pt idx="4">
                  <c:v>7</c:v>
                </c:pt>
                <c:pt idx="5">
                  <c:v>8</c:v>
                </c:pt>
                <c:pt idx="6">
                  <c:v>1</c:v>
                </c:pt>
                <c:pt idx="7">
                  <c:v>6</c:v>
                </c:pt>
                <c:pt idx="8">
                  <c:v>70</c:v>
                </c:pt>
                <c:pt idx="9">
                  <c:v>1</c:v>
                </c:pt>
                <c:pt idx="10">
                  <c:v>4</c:v>
                </c:pt>
              </c:numCache>
            </c:numRef>
          </c:val>
          <c:extLst>
            <c:ext xmlns:c16="http://schemas.microsoft.com/office/drawing/2014/chart" uri="{C3380CC4-5D6E-409C-BE32-E72D297353CC}">
              <c16:uniqueId val="{00000000-D8CD-4AC9-AF60-45879FFB998E}"/>
            </c:ext>
          </c:extLst>
        </c:ser>
        <c:dLbls>
          <c:dLblPos val="outEnd"/>
          <c:showLegendKey val="0"/>
          <c:showVal val="1"/>
          <c:showCatName val="0"/>
          <c:showSerName val="0"/>
          <c:showPercent val="0"/>
          <c:showBubbleSize val="0"/>
        </c:dLbls>
        <c:gapWidth val="219"/>
        <c:overlap val="-27"/>
        <c:axId val="801941600"/>
        <c:axId val="801921632"/>
      </c:barChart>
      <c:catAx>
        <c:axId val="801941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921632"/>
        <c:crosses val="autoZero"/>
        <c:auto val="1"/>
        <c:lblAlgn val="ctr"/>
        <c:lblOffset val="100"/>
        <c:noMultiLvlLbl val="0"/>
      </c:catAx>
      <c:valAx>
        <c:axId val="8019216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941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latest.xlsm]Department Pivot!PivotTable1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Department</a:t>
            </a:r>
            <a:r>
              <a:rPr lang="en-US" baseline="0"/>
              <a:t> Wise Hiring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'Department 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'Department Pivot'!$A$4:$A$25</c:f>
              <c:strCache>
                <c:ptCount val="21"/>
                <c:pt idx="0">
                  <c:v>Admin</c:v>
                </c:pt>
                <c:pt idx="1">
                  <c:v>Commercial</c:v>
                </c:pt>
                <c:pt idx="2">
                  <c:v>Design &amp; Development</c:v>
                </c:pt>
                <c:pt idx="3">
                  <c:v>Engineering</c:v>
                </c:pt>
                <c:pt idx="4">
                  <c:v>ERP</c:v>
                </c:pt>
                <c:pt idx="5">
                  <c:v>Finance &amp; Accounts</c:v>
                </c:pt>
                <c:pt idx="6">
                  <c:v>Human Resources</c:v>
                </c:pt>
                <c:pt idx="7">
                  <c:v>Information Technology</c:v>
                </c:pt>
                <c:pt idx="8">
                  <c:v>Land &amp; Estate</c:v>
                </c:pt>
                <c:pt idx="9">
                  <c:v>LHTE</c:v>
                </c:pt>
                <c:pt idx="10">
                  <c:v>Merchandising</c:v>
                </c:pt>
                <c:pt idx="11">
                  <c:v>Power &amp; Energy</c:v>
                </c:pt>
                <c:pt idx="12">
                  <c:v>Procurement &amp; Development </c:v>
                </c:pt>
                <c:pt idx="13">
                  <c:v>Production</c:v>
                </c:pt>
                <c:pt idx="14">
                  <c:v>Sales &amp; Marketing</c:v>
                </c:pt>
                <c:pt idx="15">
                  <c:v>Wash</c:v>
                </c:pt>
                <c:pt idx="16">
                  <c:v>Quality Assurance</c:v>
                </c:pt>
                <c:pt idx="17">
                  <c:v>Audit</c:v>
                </c:pt>
                <c:pt idx="18">
                  <c:v>Sylhet Planters</c:v>
                </c:pt>
                <c:pt idx="19">
                  <c:v>Media Cell, Admin</c:v>
                </c:pt>
                <c:pt idx="20">
                  <c:v>Management</c:v>
                </c:pt>
              </c:strCache>
            </c:strRef>
          </c:cat>
          <c:val>
            <c:numRef>
              <c:f>'Department Pivot'!$B$4:$B$25</c:f>
              <c:numCache>
                <c:formatCode>General</c:formatCode>
                <c:ptCount val="21"/>
                <c:pt idx="0">
                  <c:v>53</c:v>
                </c:pt>
                <c:pt idx="1">
                  <c:v>21</c:v>
                </c:pt>
                <c:pt idx="2">
                  <c:v>11</c:v>
                </c:pt>
                <c:pt idx="3">
                  <c:v>10</c:v>
                </c:pt>
                <c:pt idx="4">
                  <c:v>9</c:v>
                </c:pt>
                <c:pt idx="5">
                  <c:v>13</c:v>
                </c:pt>
                <c:pt idx="6">
                  <c:v>49</c:v>
                </c:pt>
                <c:pt idx="7">
                  <c:v>4</c:v>
                </c:pt>
                <c:pt idx="8">
                  <c:v>1</c:v>
                </c:pt>
                <c:pt idx="9">
                  <c:v>2</c:v>
                </c:pt>
                <c:pt idx="10">
                  <c:v>59</c:v>
                </c:pt>
                <c:pt idx="11">
                  <c:v>9</c:v>
                </c:pt>
                <c:pt idx="12">
                  <c:v>12</c:v>
                </c:pt>
                <c:pt idx="13">
                  <c:v>7</c:v>
                </c:pt>
                <c:pt idx="14">
                  <c:v>3</c:v>
                </c:pt>
                <c:pt idx="15">
                  <c:v>3</c:v>
                </c:pt>
                <c:pt idx="16">
                  <c:v>10</c:v>
                </c:pt>
                <c:pt idx="17">
                  <c:v>6</c:v>
                </c:pt>
                <c:pt idx="18">
                  <c:v>1</c:v>
                </c:pt>
                <c:pt idx="19">
                  <c:v>3</c:v>
                </c:pt>
                <c:pt idx="20">
                  <c:v>3</c:v>
                </c:pt>
              </c:numCache>
            </c:numRef>
          </c:val>
          <c:extLst>
            <c:ext xmlns:c16="http://schemas.microsoft.com/office/drawing/2014/chart" uri="{C3380CC4-5D6E-409C-BE32-E72D297353CC}">
              <c16:uniqueId val="{00000000-60BA-4A6D-90FD-910BB57C631D}"/>
            </c:ext>
          </c:extLst>
        </c:ser>
        <c:dLbls>
          <c:dLblPos val="outEnd"/>
          <c:showLegendKey val="0"/>
          <c:showVal val="1"/>
          <c:showCatName val="0"/>
          <c:showSerName val="0"/>
          <c:showPercent val="0"/>
          <c:showBubbleSize val="0"/>
        </c:dLbls>
        <c:gapWidth val="219"/>
        <c:overlap val="-27"/>
        <c:axId val="1928329712"/>
        <c:axId val="1928342608"/>
      </c:barChart>
      <c:catAx>
        <c:axId val="192832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8342608"/>
        <c:crosses val="autoZero"/>
        <c:auto val="1"/>
        <c:lblAlgn val="ctr"/>
        <c:lblOffset val="100"/>
        <c:noMultiLvlLbl val="0"/>
      </c:catAx>
      <c:valAx>
        <c:axId val="19283426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8329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latest.xlsm]Designation Pivot!PivotTable10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Designation Wise Hiring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'Designation 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'Designation Pivot'!$A$4:$A$5</c:f>
              <c:strCache>
                <c:ptCount val="1"/>
                <c:pt idx="0">
                  <c:v>Assistant General Manager</c:v>
                </c:pt>
              </c:strCache>
            </c:strRef>
          </c:cat>
          <c:val>
            <c:numRef>
              <c:f>'Designation Pivot'!$B$4:$B$5</c:f>
              <c:numCache>
                <c:formatCode>General</c:formatCode>
                <c:ptCount val="1"/>
                <c:pt idx="0">
                  <c:v>4</c:v>
                </c:pt>
              </c:numCache>
            </c:numRef>
          </c:val>
          <c:extLst>
            <c:ext xmlns:c16="http://schemas.microsoft.com/office/drawing/2014/chart" uri="{C3380CC4-5D6E-409C-BE32-E72D297353CC}">
              <c16:uniqueId val="{00000000-8EC5-4990-9937-F77D1B2E519A}"/>
            </c:ext>
          </c:extLst>
        </c:ser>
        <c:dLbls>
          <c:dLblPos val="outEnd"/>
          <c:showLegendKey val="0"/>
          <c:showVal val="1"/>
          <c:showCatName val="0"/>
          <c:showSerName val="0"/>
          <c:showPercent val="0"/>
          <c:showBubbleSize val="0"/>
        </c:dLbls>
        <c:gapWidth val="219"/>
        <c:overlap val="-27"/>
        <c:axId val="807668991"/>
        <c:axId val="807674815"/>
      </c:barChart>
      <c:catAx>
        <c:axId val="807668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7674815"/>
        <c:crosses val="autoZero"/>
        <c:auto val="1"/>
        <c:lblAlgn val="ctr"/>
        <c:lblOffset val="100"/>
        <c:noMultiLvlLbl val="0"/>
      </c:catAx>
      <c:valAx>
        <c:axId val="8076748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7668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latest.xlsm]Mode Pivot!PivotTable2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Mode Of Vacancy</a:t>
            </a:r>
            <a:r>
              <a:rPr lang="en-US" baseline="0"/>
              <a:t> Wise Hiring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'Mode 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 Pivot'!$A$4:$A$8</c:f>
              <c:strCache>
                <c:ptCount val="4"/>
                <c:pt idx="0">
                  <c:v>Contractual</c:v>
                </c:pt>
                <c:pt idx="1">
                  <c:v>New</c:v>
                </c:pt>
                <c:pt idx="2">
                  <c:v>Replacement</c:v>
                </c:pt>
                <c:pt idx="3">
                  <c:v>Vacant</c:v>
                </c:pt>
              </c:strCache>
            </c:strRef>
          </c:cat>
          <c:val>
            <c:numRef>
              <c:f>'Mode Pivot'!$B$4:$B$8</c:f>
              <c:numCache>
                <c:formatCode>General</c:formatCode>
                <c:ptCount val="4"/>
                <c:pt idx="0">
                  <c:v>20</c:v>
                </c:pt>
                <c:pt idx="1">
                  <c:v>64</c:v>
                </c:pt>
                <c:pt idx="2">
                  <c:v>153</c:v>
                </c:pt>
                <c:pt idx="3">
                  <c:v>52</c:v>
                </c:pt>
              </c:numCache>
            </c:numRef>
          </c:val>
          <c:extLst>
            <c:ext xmlns:c16="http://schemas.microsoft.com/office/drawing/2014/chart" uri="{C3380CC4-5D6E-409C-BE32-E72D297353CC}">
              <c16:uniqueId val="{00000000-3952-4207-9E9E-708A07F0BE1B}"/>
            </c:ext>
          </c:extLst>
        </c:ser>
        <c:dLbls>
          <c:dLblPos val="outEnd"/>
          <c:showLegendKey val="0"/>
          <c:showVal val="1"/>
          <c:showCatName val="0"/>
          <c:showSerName val="0"/>
          <c:showPercent val="0"/>
          <c:showBubbleSize val="0"/>
        </c:dLbls>
        <c:gapWidth val="219"/>
        <c:overlap val="-27"/>
        <c:axId val="188436239"/>
        <c:axId val="188436655"/>
      </c:barChart>
      <c:catAx>
        <c:axId val="188436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36655"/>
        <c:crosses val="autoZero"/>
        <c:auto val="1"/>
        <c:lblAlgn val="ctr"/>
        <c:lblOffset val="100"/>
        <c:noMultiLvlLbl val="0"/>
      </c:catAx>
      <c:valAx>
        <c:axId val="1884366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36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504825</xdr:colOff>
          <xdr:row>12</xdr:row>
          <xdr:rowOff>209550</xdr:rowOff>
        </xdr:from>
        <xdr:to>
          <xdr:col>6</xdr:col>
          <xdr:colOff>495300</xdr:colOff>
          <xdr:row>14</xdr:row>
          <xdr:rowOff>85725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200024</xdr:colOff>
      <xdr:row>0</xdr:row>
      <xdr:rowOff>123824</xdr:rowOff>
    </xdr:from>
    <xdr:to>
      <xdr:col>15</xdr:col>
      <xdr:colOff>409575</xdr:colOff>
      <xdr:row>25</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142875</xdr:colOff>
      <xdr:row>14</xdr:row>
      <xdr:rowOff>85724</xdr:rowOff>
    </xdr:from>
    <xdr:to>
      <xdr:col>19</xdr:col>
      <xdr:colOff>733425</xdr:colOff>
      <xdr:row>20</xdr:row>
      <xdr:rowOff>38099</xdr:rowOff>
    </xdr:to>
    <mc:AlternateContent xmlns:mc="http://schemas.openxmlformats.org/markup-compatibility/2006" xmlns:a14="http://schemas.microsoft.com/office/drawing/2010/main">
      <mc:Choice Requires="a14">
        <xdr:graphicFrame macro="">
          <xdr:nvGraphicFramePr>
            <xdr:cNvPr id="3" name="Year 3"/>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11172825" y="2752724"/>
              <a:ext cx="1200150" cy="1095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514350</xdr:colOff>
      <xdr:row>0</xdr:row>
      <xdr:rowOff>152400</xdr:rowOff>
    </xdr:from>
    <xdr:to>
      <xdr:col>17</xdr:col>
      <xdr:colOff>523875</xdr:colOff>
      <xdr:row>14</xdr:row>
      <xdr:rowOff>9525</xdr:rowOff>
    </xdr:to>
    <mc:AlternateContent xmlns:mc="http://schemas.openxmlformats.org/markup-compatibility/2006" xmlns:a14="http://schemas.microsoft.com/office/drawing/2010/main">
      <mc:Choice Requires="a14">
        <xdr:graphicFrame macro="">
          <xdr:nvGraphicFramePr>
            <xdr:cNvPr id="4" name="Month 3"/>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9658350" y="152400"/>
              <a:ext cx="12287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581025</xdr:colOff>
      <xdr:row>0</xdr:row>
      <xdr:rowOff>171450</xdr:rowOff>
    </xdr:from>
    <xdr:to>
      <xdr:col>20</xdr:col>
      <xdr:colOff>76200</xdr:colOff>
      <xdr:row>14</xdr:row>
      <xdr:rowOff>28575</xdr:rowOff>
    </xdr:to>
    <mc:AlternateContent xmlns:mc="http://schemas.openxmlformats.org/markup-compatibility/2006" xmlns:a14="http://schemas.microsoft.com/office/drawing/2010/main">
      <mc:Choice Requires="a14">
        <xdr:graphicFrame macro="">
          <xdr:nvGraphicFramePr>
            <xdr:cNvPr id="5" name="Unit/ Factory 1"/>
            <xdr:cNvGraphicFramePr/>
          </xdr:nvGraphicFramePr>
          <xdr:xfrm>
            <a:off x="0" y="0"/>
            <a:ext cx="0" cy="0"/>
          </xdr:xfrm>
          <a:graphic>
            <a:graphicData uri="http://schemas.microsoft.com/office/drawing/2010/slicer">
              <sle:slicer xmlns:sle="http://schemas.microsoft.com/office/drawing/2010/slicer" name="Unit/ Factory 1"/>
            </a:graphicData>
          </a:graphic>
        </xdr:graphicFrame>
      </mc:Choice>
      <mc:Fallback xmlns="">
        <xdr:sp macro="" textlink="">
          <xdr:nvSpPr>
            <xdr:cNvPr id="0" name=""/>
            <xdr:cNvSpPr>
              <a:spLocks noTextEdit="1"/>
            </xdr:cNvSpPr>
          </xdr:nvSpPr>
          <xdr:spPr>
            <a:xfrm>
              <a:off x="10944225" y="171450"/>
              <a:ext cx="15335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714374</xdr:colOff>
      <xdr:row>24</xdr:row>
      <xdr:rowOff>123825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66675</xdr:colOff>
      <xdr:row>13</xdr:row>
      <xdr:rowOff>142876</xdr:rowOff>
    </xdr:from>
    <xdr:to>
      <xdr:col>16</xdr:col>
      <xdr:colOff>447675</xdr:colOff>
      <xdr:row>20</xdr:row>
      <xdr:rowOff>19051</xdr:rowOff>
    </xdr:to>
    <mc:AlternateContent xmlns:mc="http://schemas.openxmlformats.org/markup-compatibility/2006" xmlns:a14="http://schemas.microsoft.com/office/drawing/2010/main">
      <mc:Choice Requires="a14">
        <xdr:graphicFrame macro="">
          <xdr:nvGraphicFramePr>
            <xdr:cNvPr id="4"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391650" y="2619376"/>
              <a:ext cx="990600"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47625</xdr:colOff>
      <xdr:row>0</xdr:row>
      <xdr:rowOff>47625</xdr:rowOff>
    </xdr:from>
    <xdr:to>
      <xdr:col>17</xdr:col>
      <xdr:colOff>76200</xdr:colOff>
      <xdr:row>13</xdr:row>
      <xdr:rowOff>95250</xdr:rowOff>
    </xdr:to>
    <mc:AlternateContent xmlns:mc="http://schemas.openxmlformats.org/markup-compatibility/2006" xmlns:a14="http://schemas.microsoft.com/office/drawing/2010/main">
      <mc:Choice Requires="a14">
        <xdr:graphicFrame macro="">
          <xdr:nvGraphicFramePr>
            <xdr:cNvPr id="5"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9372600" y="47625"/>
              <a:ext cx="124777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142875</xdr:colOff>
      <xdr:row>0</xdr:row>
      <xdr:rowOff>28575</xdr:rowOff>
    </xdr:from>
    <xdr:to>
      <xdr:col>19</xdr:col>
      <xdr:colOff>752475</xdr:colOff>
      <xdr:row>13</xdr:row>
      <xdr:rowOff>76200</xdr:rowOff>
    </xdr:to>
    <mc:AlternateContent xmlns:mc="http://schemas.openxmlformats.org/markup-compatibility/2006" xmlns:a14="http://schemas.microsoft.com/office/drawing/2010/main">
      <mc:Choice Requires="a14">
        <xdr:graphicFrame macro="">
          <xdr:nvGraphicFramePr>
            <xdr:cNvPr id="6" name="Unit/ Factory"/>
            <xdr:cNvGraphicFramePr/>
          </xdr:nvGraphicFramePr>
          <xdr:xfrm>
            <a:off x="0" y="0"/>
            <a:ext cx="0" cy="0"/>
          </xdr:xfrm>
          <a:graphic>
            <a:graphicData uri="http://schemas.microsoft.com/office/drawing/2010/slicer">
              <sle:slicer xmlns:sle="http://schemas.microsoft.com/office/drawing/2010/slicer" name="Unit/ Factory"/>
            </a:graphicData>
          </a:graphic>
        </xdr:graphicFrame>
      </mc:Choice>
      <mc:Fallback xmlns="">
        <xdr:sp macro="" textlink="">
          <xdr:nvSpPr>
            <xdr:cNvPr id="0" name=""/>
            <xdr:cNvSpPr>
              <a:spLocks noTextEdit="1"/>
            </xdr:cNvSpPr>
          </xdr:nvSpPr>
          <xdr:spPr>
            <a:xfrm>
              <a:off x="10687050" y="28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485775</xdr:colOff>
      <xdr:row>19</xdr:row>
      <xdr:rowOff>114300</xdr:rowOff>
    </xdr:from>
    <xdr:to>
      <xdr:col>17</xdr:col>
      <xdr:colOff>304800</xdr:colOff>
      <xdr:row>25</xdr:row>
      <xdr:rowOff>142875</xdr:rowOff>
    </xdr:to>
    <mc:AlternateContent xmlns:mc="http://schemas.openxmlformats.org/markup-compatibility/2006" xmlns:a14="http://schemas.microsoft.com/office/drawing/2010/main">
      <mc:Choice Requires="a14">
        <xdr:graphicFrame macro="">
          <xdr:nvGraphicFramePr>
            <xdr:cNvPr id="2" name="Year 4"/>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9953625" y="3876675"/>
              <a:ext cx="1104900" cy="1219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390524</xdr:colOff>
      <xdr:row>13</xdr:row>
      <xdr:rowOff>114300</xdr:rowOff>
    </xdr:from>
    <xdr:to>
      <xdr:col>19</xdr:col>
      <xdr:colOff>609599</xdr:colOff>
      <xdr:row>25</xdr:row>
      <xdr:rowOff>161925</xdr:rowOff>
    </xdr:to>
    <mc:AlternateContent xmlns:mc="http://schemas.openxmlformats.org/markup-compatibility/2006" xmlns:a14="http://schemas.microsoft.com/office/drawing/2010/main">
      <mc:Choice Requires="a14">
        <xdr:graphicFrame macro="">
          <xdr:nvGraphicFramePr>
            <xdr:cNvPr id="3" name="Month 4"/>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11144249" y="2590800"/>
              <a:ext cx="143827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647700</xdr:colOff>
      <xdr:row>0</xdr:row>
      <xdr:rowOff>28575</xdr:rowOff>
    </xdr:from>
    <xdr:to>
      <xdr:col>19</xdr:col>
      <xdr:colOff>581025</xdr:colOff>
      <xdr:row>13</xdr:row>
      <xdr:rowOff>76200</xdr:rowOff>
    </xdr:to>
    <mc:AlternateContent xmlns:mc="http://schemas.openxmlformats.org/markup-compatibility/2006" xmlns:a14="http://schemas.microsoft.com/office/drawing/2010/main">
      <mc:Choice Requires="a14">
        <xdr:graphicFrame macro="">
          <xdr:nvGraphicFramePr>
            <xdr:cNvPr id="4" name="Designation 1"/>
            <xdr:cNvGraphicFramePr/>
          </xdr:nvGraphicFramePr>
          <xdr:xfrm>
            <a:off x="0" y="0"/>
            <a:ext cx="0" cy="0"/>
          </xdr:xfrm>
          <a:graphic>
            <a:graphicData uri="http://schemas.microsoft.com/office/drawing/2010/slicer">
              <sle:slicer xmlns:sle="http://schemas.microsoft.com/office/drawing/2010/slicer" name="Designation 1"/>
            </a:graphicData>
          </a:graphic>
        </xdr:graphicFrame>
      </mc:Choice>
      <mc:Fallback xmlns="">
        <xdr:sp macro="" textlink="">
          <xdr:nvSpPr>
            <xdr:cNvPr id="0" name=""/>
            <xdr:cNvSpPr>
              <a:spLocks noTextEdit="1"/>
            </xdr:cNvSpPr>
          </xdr:nvSpPr>
          <xdr:spPr>
            <a:xfrm>
              <a:off x="10725150" y="28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209549</xdr:colOff>
      <xdr:row>0</xdr:row>
      <xdr:rowOff>47624</xdr:rowOff>
    </xdr:from>
    <xdr:to>
      <xdr:col>13</xdr:col>
      <xdr:colOff>466725</xdr:colOff>
      <xdr:row>25</xdr:row>
      <xdr:rowOff>123825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342900</xdr:colOff>
      <xdr:row>0</xdr:row>
      <xdr:rowOff>38100</xdr:rowOff>
    </xdr:from>
    <xdr:to>
      <xdr:col>16</xdr:col>
      <xdr:colOff>628650</xdr:colOff>
      <xdr:row>13</xdr:row>
      <xdr:rowOff>85725</xdr:rowOff>
    </xdr:to>
    <mc:AlternateContent xmlns:mc="http://schemas.openxmlformats.org/markup-compatibility/2006" xmlns:a14="http://schemas.microsoft.com/office/drawing/2010/main">
      <mc:Choice Requires="a14">
        <xdr:graphicFrame macro="">
          <xdr:nvGraphicFramePr>
            <xdr:cNvPr id="8"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8877300" y="38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171448</xdr:colOff>
      <xdr:row>0</xdr:row>
      <xdr:rowOff>66674</xdr:rowOff>
    </xdr:from>
    <xdr:to>
      <xdr:col>13</xdr:col>
      <xdr:colOff>628650</xdr:colOff>
      <xdr:row>25</xdr:row>
      <xdr:rowOff>104775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866774</xdr:colOff>
      <xdr:row>12</xdr:row>
      <xdr:rowOff>171450</xdr:rowOff>
    </xdr:from>
    <xdr:to>
      <xdr:col>15</xdr:col>
      <xdr:colOff>361949</xdr:colOff>
      <xdr:row>20</xdr:row>
      <xdr:rowOff>114300</xdr:rowOff>
    </xdr:to>
    <mc:AlternateContent xmlns:mc="http://schemas.openxmlformats.org/markup-compatibility/2006" xmlns:a14="http://schemas.microsoft.com/office/drawing/2010/main">
      <mc:Choice Requires="a14">
        <xdr:graphicFrame macro="">
          <xdr:nvGraphicFramePr>
            <xdr:cNvPr id="10" name="Year 2"/>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8791574" y="2600325"/>
              <a:ext cx="1095375"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352425</xdr:colOff>
      <xdr:row>0</xdr:row>
      <xdr:rowOff>76200</xdr:rowOff>
    </xdr:from>
    <xdr:to>
      <xdr:col>19</xdr:col>
      <xdr:colOff>466725</xdr:colOff>
      <xdr:row>12</xdr:row>
      <xdr:rowOff>57150</xdr:rowOff>
    </xdr:to>
    <mc:AlternateContent xmlns:mc="http://schemas.openxmlformats.org/markup-compatibility/2006" xmlns:a14="http://schemas.microsoft.com/office/drawing/2010/main">
      <mc:Choice Requires="a14">
        <xdr:graphicFrame macro="">
          <xdr:nvGraphicFramePr>
            <xdr:cNvPr id="11" name="Month 2"/>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1153775" y="76200"/>
              <a:ext cx="1333500" cy="2409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400050</xdr:colOff>
      <xdr:row>12</xdr:row>
      <xdr:rowOff>152400</xdr:rowOff>
    </xdr:from>
    <xdr:to>
      <xdr:col>19</xdr:col>
      <xdr:colOff>447675</xdr:colOff>
      <xdr:row>26</xdr:row>
      <xdr:rowOff>9525</xdr:rowOff>
    </xdr:to>
    <mc:AlternateContent xmlns:mc="http://schemas.openxmlformats.org/markup-compatibility/2006" xmlns:a14="http://schemas.microsoft.com/office/drawing/2010/main">
      <mc:Choice Requires="a14">
        <xdr:graphicFrame macro="">
          <xdr:nvGraphicFramePr>
            <xdr:cNvPr id="12" name="Designation"/>
            <xdr:cNvGraphicFramePr/>
          </xdr:nvGraphicFramePr>
          <xdr:xfrm>
            <a:off x="0" y="0"/>
            <a:ext cx="0" cy="0"/>
          </xdr:xfrm>
          <a:graphic>
            <a:graphicData uri="http://schemas.microsoft.com/office/drawing/2010/slicer">
              <sle:slicer xmlns:sle="http://schemas.microsoft.com/office/drawing/2010/slicer" name="Designation"/>
            </a:graphicData>
          </a:graphic>
        </xdr:graphicFrame>
      </mc:Choice>
      <mc:Fallback xmlns="">
        <xdr:sp macro="" textlink="">
          <xdr:nvSpPr>
            <xdr:cNvPr id="0" name=""/>
            <xdr:cNvSpPr>
              <a:spLocks noTextEdit="1"/>
            </xdr:cNvSpPr>
          </xdr:nvSpPr>
          <xdr:spPr>
            <a:xfrm>
              <a:off x="9925050" y="2581275"/>
              <a:ext cx="26479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57149</xdr:colOff>
      <xdr:row>0</xdr:row>
      <xdr:rowOff>57150</xdr:rowOff>
    </xdr:from>
    <xdr:to>
      <xdr:col>14</xdr:col>
      <xdr:colOff>76200</xdr:colOff>
      <xdr:row>25</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209550</xdr:colOff>
      <xdr:row>13</xdr:row>
      <xdr:rowOff>133350</xdr:rowOff>
    </xdr:from>
    <xdr:to>
      <xdr:col>17</xdr:col>
      <xdr:colOff>209550</xdr:colOff>
      <xdr:row>21</xdr:row>
      <xdr:rowOff>19050</xdr:rowOff>
    </xdr:to>
    <mc:AlternateContent xmlns:mc="http://schemas.openxmlformats.org/markup-compatibility/2006" xmlns:a14="http://schemas.microsoft.com/office/drawing/2010/main">
      <mc:Choice Requires="a14">
        <xdr:graphicFrame macro="">
          <xdr:nvGraphicFramePr>
            <xdr:cNvPr id="3" name="Mode of vacancy"/>
            <xdr:cNvGraphicFramePr/>
          </xdr:nvGraphicFramePr>
          <xdr:xfrm>
            <a:off x="0" y="0"/>
            <a:ext cx="0" cy="0"/>
          </xdr:xfrm>
          <a:graphic>
            <a:graphicData uri="http://schemas.microsoft.com/office/drawing/2010/slicer">
              <sle:slicer xmlns:sle="http://schemas.microsoft.com/office/drawing/2010/slicer" name="Mode of vacancy"/>
            </a:graphicData>
          </a:graphic>
        </xdr:graphicFrame>
      </mc:Choice>
      <mc:Fallback xmlns="">
        <xdr:sp macro="" textlink="">
          <xdr:nvSpPr>
            <xdr:cNvPr id="0" name=""/>
            <xdr:cNvSpPr>
              <a:spLocks noTextEdit="1"/>
            </xdr:cNvSpPr>
          </xdr:nvSpPr>
          <xdr:spPr>
            <a:xfrm>
              <a:off x="8743950" y="2609850"/>
              <a:ext cx="1828800"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228600</xdr:colOff>
      <xdr:row>0</xdr:row>
      <xdr:rowOff>9525</xdr:rowOff>
    </xdr:from>
    <xdr:to>
      <xdr:col>17</xdr:col>
      <xdr:colOff>228600</xdr:colOff>
      <xdr:row>13</xdr:row>
      <xdr:rowOff>57150</xdr:rowOff>
    </xdr:to>
    <mc:AlternateContent xmlns:mc="http://schemas.openxmlformats.org/markup-compatibility/2006" xmlns:a14="http://schemas.microsoft.com/office/drawing/2010/main">
      <mc:Choice Requires="a14">
        <xdr:graphicFrame macro="">
          <xdr:nvGraphicFramePr>
            <xdr:cNvPr id="4"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763000" y="9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314325</xdr:colOff>
      <xdr:row>0</xdr:row>
      <xdr:rowOff>28575</xdr:rowOff>
    </xdr:from>
    <xdr:to>
      <xdr:col>20</xdr:col>
      <xdr:colOff>314325</xdr:colOff>
      <xdr:row>13</xdr:row>
      <xdr:rowOff>76200</xdr:rowOff>
    </xdr:to>
    <mc:AlternateContent xmlns:mc="http://schemas.openxmlformats.org/markup-compatibility/2006" xmlns:a14="http://schemas.microsoft.com/office/drawing/2010/main">
      <mc:Choice Requires="a14">
        <xdr:graphicFrame macro="">
          <xdr:nvGraphicFramePr>
            <xdr:cNvPr id="5"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677525" y="28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dashboard%20-%20Copy%20(Recovered).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Dashboard%20latest.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5229.601948842595" createdVersion="6" refreshedVersion="6" minRefreshableVersion="3" recordCount="289">
  <cacheSource type="worksheet">
    <worksheetSource name="Table13" r:id="rId2"/>
  </cacheSource>
  <cacheFields count="17">
    <cacheField name="SL" numFmtId="0">
      <sharedItems containsMixedTypes="1" containsNumber="1" containsInteger="1" minValue="1" maxValue="289"/>
    </cacheField>
    <cacheField name="Year" numFmtId="0">
      <sharedItems containsSemiMixedTypes="0" containsString="0" containsNumber="1" containsInteger="1" minValue="2023" maxValue="2023" count="1">
        <n v="2023"/>
      </sharedItems>
    </cacheField>
    <cacheField name="Month" numFmtId="164">
      <sharedItems count="10">
        <s v="January"/>
        <s v="February"/>
        <s v="March"/>
        <s v="April"/>
        <s v="May"/>
        <s v="June"/>
        <s v="July"/>
        <s v="August"/>
        <s v="September"/>
        <s v="October"/>
      </sharedItems>
    </cacheField>
    <cacheField name="ID" numFmtId="1">
      <sharedItems containsMixedTypes="1" containsNumber="1" containsInteger="1" minValue="41924" maxValue="52819"/>
    </cacheField>
    <cacheField name="Name " numFmtId="0">
      <sharedItems/>
    </cacheField>
    <cacheField name="Designation" numFmtId="0">
      <sharedItems count="57">
        <s v="General Manager"/>
        <s v="MTO"/>
        <s v="Caddie"/>
        <s v="Manager"/>
        <s v="Customs Sarker"/>
        <s v="Officer"/>
        <s v="Office Assistant"/>
        <s v="Peon"/>
        <s v="Assistant Officer"/>
        <s v="Assistant Manager"/>
        <s v="Senior Officer"/>
        <s v="Deputy Manager"/>
        <s v="Merchandiser"/>
        <s v="Assistant Merchandiser"/>
        <s v="Trainee Officer"/>
        <s v="Security Guard"/>
        <s v="Security Guard Cum Fire Fighter"/>
        <s v="Driver"/>
        <s v="Helper"/>
        <s v="Assistant General Manager"/>
        <s v="Gardener"/>
        <s v="CCTV Operator"/>
        <s v="Project Manager"/>
        <s v="Sub Assistant Engineer"/>
        <s v="Deputy General Manager"/>
        <s v="Senior Merchandiser"/>
        <s v="Trainee Merchandiser"/>
        <s v="Coordinator"/>
        <s v="Security Incharge"/>
        <s v="Senior Designer"/>
        <s v="Fire Technician"/>
        <s v="Assistant Designer"/>
        <s v="Senior Manager"/>
        <s v="Software Support Engineer"/>
        <s v="Trainee Designer"/>
        <s v="Designer"/>
        <s v="Head Of Production"/>
        <s v="Executive Director"/>
        <s v="Messenger"/>
        <s v="Engineer "/>
        <s v="Assistant Software Engineer"/>
        <s v="Chief Information Officer"/>
        <s v="Head of Quality Assurance"/>
        <s v="Software Engineer"/>
        <s v="EDI Coordinator"/>
        <s v="Computer Operator"/>
        <s v="Junior Site Engineer"/>
        <s v="Operator"/>
        <s v="Chief Operating Officer"/>
        <s v="Sample Coordinator"/>
        <s v="Information Technology Incharge" u="1"/>
        <s v="Junior SInformation Technologye Engineer" u="1"/>
        <s v="Junior Information Technologye Engineer" u="1"/>
        <s v="Head of Information Technology" u="1"/>
        <s v="Project Engineer " u="1"/>
        <s v="Information Technology Guard cum Fire Fighter" u="1"/>
        <s v="Information Technology Guard" u="1"/>
      </sharedItems>
    </cacheField>
    <cacheField name="Department" numFmtId="0">
      <sharedItems count="45">
        <s v="Production"/>
        <s v="Quality Assurance"/>
        <s v="Human Resources"/>
        <s v="Admin"/>
        <s v="Commercial"/>
        <s v="LHTE"/>
        <s v="Merchandising"/>
        <s v="Sales &amp; Marketing"/>
        <s v="Finance &amp; Accounts"/>
        <s v="Engineering"/>
        <s v="Procurement &amp; Development "/>
        <s v="Sylhet Planters"/>
        <s v="ERP"/>
        <s v="Design &amp; Development"/>
        <s v="Wash"/>
        <s v="Information Technology"/>
        <s v="Audit"/>
        <s v="Media Cell, Admin"/>
        <s v="Power &amp; Energy"/>
        <s v="Management"/>
        <s v="Land &amp; Estate"/>
        <s v="Procurement &amp; Development" u="1"/>
        <s v="Information Technology Surveillance" u="1"/>
        <s v="Design Studio " u="1"/>
        <s v="Merchandising " u="1"/>
        <s v="Commercial " u="1"/>
        <s v="Information Technology &amp; Serveillance" u="1"/>
        <s v="Information Technology &amp; Surveillance" u="1"/>
        <s v="Transport" u="1"/>
        <s v="Sylhet Planters Ltd." u="1"/>
        <s v="Human Resouces" u="1"/>
        <s v="Marketing &amp; Merchandising" u="1"/>
        <s v="Kohl's, ADL" u="1"/>
        <s v="CWL, Tongi" u="1"/>
        <s v="Security and Surveillance" u="1"/>
        <s v="TISWL" u="1"/>
        <s v="Sales &amp; Marketing (Recycle Plant)" u="1"/>
        <s v="AGL" u="1"/>
        <s v="Human Resources, Admin &amp; Compliance" u="1"/>
        <s v="Finance &amp; Accounts(Insurance)" u="1"/>
        <s v="Design Studio" u="1"/>
        <s v="Quality &amp; Assurane" u="1"/>
        <s v="Security &amp; Surveillance" u="1"/>
        <s v="Marketing &amp; Operations" u="1"/>
        <s v="Procurement" u="1"/>
      </sharedItems>
    </cacheField>
    <cacheField name="Unit/ Factory" numFmtId="0">
      <sharedItems count="22">
        <s v="Ashulia"/>
        <s v="Head Office"/>
        <s v="Tongi"/>
        <s v="Mawna"/>
        <s v="Kaliganj"/>
        <s v="Vogra"/>
        <s v="Sylhet"/>
        <s v="Faridpur"/>
        <s v="Zirani"/>
        <s v="Mirzapur"/>
        <s v="Fauji Chat Kal"/>
        <s v="Narsingdi" u="1"/>
        <s v="CGL, Pagar" u="1"/>
        <s v="Fouji Chat Kal" u="1"/>
        <s v="Fauji Chat Kal Ltd., Narsingdi" u="1"/>
        <s v="SPL, Sylhet" u="1"/>
        <s v="TISWL, Ashulia" u="1"/>
        <s v="Casual Garments Ltd." u="1"/>
        <s v="HO" u="1"/>
        <s v="Head Officer" u="1"/>
        <s v=" Zirani" u="1"/>
        <s v="Bogra" u="1"/>
      </sharedItems>
    </cacheField>
    <cacheField name="Report To" numFmtId="0">
      <sharedItems/>
    </cacheField>
    <cacheField name="EDOJ" numFmtId="164">
      <sharedItems containsNonDate="0" containsDate="1" containsString="0" containsBlank="1" minDate="2022-12-08T00:00:00" maxDate="2023-10-23T00:00:00" count="78">
        <d v="2023-01-01T00:00:00"/>
        <d v="2022-12-26T00:00:00"/>
        <d v="2023-01-16T00:00:00"/>
        <d v="2022-12-31T00:00:00"/>
        <d v="2022-12-24T00:00:00"/>
        <d v="2023-01-07T00:00:00"/>
        <d v="2023-01-04T00:00:00"/>
        <d v="2023-01-08T00:00:00"/>
        <d v="2023-01-12T00:00:00"/>
        <d v="2022-12-08T00:00:00"/>
        <d v="2022-12-12T00:00:00"/>
        <d v="2023-01-15T00:00:00"/>
        <d v="2023-02-01T00:00:00"/>
        <d v="2023-02-07T00:00:00"/>
        <d v="2023-02-15T00:00:00"/>
        <d v="2023-02-09T00:00:00"/>
        <d v="2023-01-25T00:00:00"/>
        <d v="2023-02-20T00:00:00"/>
        <d v="2023-02-05T00:00:00"/>
        <d v="2023-03-01T00:00:00"/>
        <d v="2023-03-15T00:00:00"/>
        <d v="2023-03-05T00:00:00"/>
        <d v="2023-02-27T00:00:00"/>
        <d v="2023-02-26T00:00:00"/>
        <d v="2023-03-16T00:00:00"/>
        <d v="2023-03-18T00:00:00"/>
        <m/>
        <d v="2023-04-01T00:00:00"/>
        <d v="2023-04-12T00:00:00"/>
        <d v="2023-04-08T00:00:00"/>
        <d v="2023-04-02T00:00:00"/>
        <d v="2023-04-04T00:00:00"/>
        <d v="2023-03-23T00:00:00"/>
        <d v="2023-05-02T00:00:00"/>
        <d v="2023-05-15T00:00:00"/>
        <d v="2023-05-07T00:00:00"/>
        <d v="2023-05-04T00:00:00"/>
        <d v="2023-05-10T00:00:00"/>
        <d v="2023-05-03T00:00:00"/>
        <d v="2023-05-14T00:00:00"/>
        <d v="2023-06-06T00:00:00"/>
        <d v="2023-06-01T00:00:00"/>
        <d v="2023-06-15T00:00:00"/>
        <d v="2023-06-13T00:00:00"/>
        <d v="2023-06-07T00:00:00"/>
        <d v="2023-07-10T00:00:00"/>
        <d v="2023-07-08T00:00:00"/>
        <d v="2023-07-16T00:00:00"/>
        <d v="2023-07-12T00:00:00"/>
        <d v="2023-07-22T00:00:00"/>
        <d v="2023-07-14T00:00:00"/>
        <d v="2023-07-17T00:00:00"/>
        <d v="2023-07-19T00:00:00"/>
        <d v="2023-08-16T00:00:00"/>
        <d v="2023-08-01T00:00:00"/>
        <d v="2023-07-29T00:00:00"/>
        <d v="2023-08-07T00:00:00"/>
        <d v="2023-08-20T00:00:00"/>
        <d v="2023-08-21T00:00:00"/>
        <d v="2023-08-05T00:00:00"/>
        <d v="2023-08-06T00:00:00"/>
        <d v="2023-09-02T00:00:00"/>
        <d v="2023-09-05T00:00:00"/>
        <d v="2023-09-16T00:00:00"/>
        <d v="2023-09-17T00:00:00"/>
        <d v="2023-09-20T00:00:00"/>
        <d v="2023-08-22T00:00:00"/>
        <d v="2023-09-10T00:00:00"/>
        <d v="2023-08-31T00:00:00"/>
        <d v="2023-08-27T00:00:00"/>
        <d v="2023-09-03T00:00:00"/>
        <d v="2023-10-15T00:00:00"/>
        <d v="2023-10-01T00:00:00"/>
        <d v="2023-10-22T00:00:00"/>
        <d v="2023-10-10T00:00:00"/>
        <d v="2023-09-18T00:00:00"/>
        <d v="2023-09-27T00:00:00"/>
        <d v="2023-10-17T00:00:00"/>
      </sharedItems>
    </cacheField>
    <cacheField name="Gross" numFmtId="1">
      <sharedItems containsString="0" containsBlank="1" containsNumber="1" containsInteger="1" minValue="8500" maxValue="500000"/>
    </cacheField>
    <cacheField name="Gross in USD" numFmtId="1">
      <sharedItems containsString="0" containsBlank="1" containsNumber="1" containsInteger="1" minValue="1800" maxValue="200000"/>
    </cacheField>
    <cacheField name="Salary Unit" numFmtId="0">
      <sharedItems/>
    </cacheField>
    <cacheField name="Mode of vacancy" numFmtId="0">
      <sharedItems count="4">
        <s v="Vacant"/>
        <s v="Contractual"/>
        <s v="New"/>
        <s v="Replacement"/>
      </sharedItems>
    </cacheField>
    <cacheField name="Approval Authority" numFmtId="0">
      <sharedItems containsBlank="1"/>
    </cacheField>
    <cacheField name="Remarks" numFmtId="0">
      <sharedItems containsNonDate="0" containsString="0" containsBlank="1"/>
    </cacheField>
    <cacheField name="count" numFmtId="0">
      <sharedItems containsSemiMixedTypes="0" containsString="0" containsNumber="1" containsInteger="1" minValue="1" maxValue="1"/>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5230.334414236109" createdVersion="6" refreshedVersion="6" minRefreshableVersion="3" recordCount="289">
  <cacheSource type="worksheet">
    <worksheetSource name="Table13" r:id="rId2"/>
  </cacheSource>
  <cacheFields count="17">
    <cacheField name="SL" numFmtId="0">
      <sharedItems containsMixedTypes="1" containsNumber="1" containsInteger="1" minValue="1" maxValue="289"/>
    </cacheField>
    <cacheField name="Year" numFmtId="0">
      <sharedItems containsSemiMixedTypes="0" containsString="0" containsNumber="1" containsInteger="1" minValue="2023" maxValue="2023" count="1">
        <n v="2023"/>
      </sharedItems>
    </cacheField>
    <cacheField name="Month" numFmtId="164">
      <sharedItems count="10">
        <s v="January"/>
        <s v="February"/>
        <s v="March"/>
        <s v="April"/>
        <s v="May"/>
        <s v="June"/>
        <s v="July"/>
        <s v="August"/>
        <s v="September"/>
        <s v="October"/>
      </sharedItems>
    </cacheField>
    <cacheField name="ID" numFmtId="1">
      <sharedItems containsMixedTypes="1" containsNumber="1" containsInteger="1" minValue="41924" maxValue="52819"/>
    </cacheField>
    <cacheField name="Name " numFmtId="0">
      <sharedItems/>
    </cacheField>
    <cacheField name="Designation" numFmtId="0">
      <sharedItems count="50">
        <s v="General Manager"/>
        <s v="MTO"/>
        <s v="Caddie"/>
        <s v="Manager"/>
        <s v="Customs Sarker"/>
        <s v="Officer"/>
        <s v="Office Assistant"/>
        <s v="Peon"/>
        <s v="Assistant Officer"/>
        <s v="Assistant Manager"/>
        <s v="Senior Officer"/>
        <s v="Deputy Manager"/>
        <s v="Merchandiser"/>
        <s v="Assistant Merchandiser"/>
        <s v="Trainee Officer"/>
        <s v="Security Guard"/>
        <s v="Security Guard Cum Fire Fighter"/>
        <s v="Driver"/>
        <s v="Helper"/>
        <s v="Assistant General Manager"/>
        <s v="Gardener"/>
        <s v="CCTV Operator"/>
        <s v="Project Manager"/>
        <s v="Sub Assistant Engineer"/>
        <s v="Deputy General Manager"/>
        <s v="Senior Merchandiser"/>
        <s v="Trainee Merchandiser"/>
        <s v="Coordinator"/>
        <s v="Security Incharge"/>
        <s v="Senior Designer"/>
        <s v="Fire Technician"/>
        <s v="Assistant Designer"/>
        <s v="Senior Manager"/>
        <s v="Software Support Engineer"/>
        <s v="Trainee Designer"/>
        <s v="Designer"/>
        <s v="Head Of Production"/>
        <s v="Executive Director"/>
        <s v="Messenger"/>
        <s v="Engineer "/>
        <s v="Assistant Software Engineer"/>
        <s v="Chief Information Officer"/>
        <s v="Head of Quality Assurance"/>
        <s v="Software Engineer"/>
        <s v="EDI Coordinator"/>
        <s v="Computer Operator"/>
        <s v="Junior Site Engineer"/>
        <s v="Operator"/>
        <s v="Chief Operating Officer"/>
        <s v="Sample Coordinator"/>
      </sharedItems>
    </cacheField>
    <cacheField name="Department" numFmtId="0">
      <sharedItems count="21">
        <s v="Production"/>
        <s v="Quality Assurance"/>
        <s v="Human Resources"/>
        <s v="Admin"/>
        <s v="Commercial"/>
        <s v="LHTE"/>
        <s v="Merchandising"/>
        <s v="Sales &amp; Marketing"/>
        <s v="Finance &amp; Accounts"/>
        <s v="Engineering"/>
        <s v="Procurement &amp; Development "/>
        <s v="Sylhet Planters"/>
        <s v="ERP"/>
        <s v="Design &amp; Development"/>
        <s v="Wash"/>
        <s v="Information Technology"/>
        <s v="Audit"/>
        <s v="Media Cell, Admin"/>
        <s v="Power &amp; Energy"/>
        <s v="Management"/>
        <s v="Land &amp; Estate"/>
      </sharedItems>
    </cacheField>
    <cacheField name="Unit/ Factory" numFmtId="0">
      <sharedItems count="11">
        <s v="Ashulia"/>
        <s v="Head Office"/>
        <s v="Tongi"/>
        <s v="Mawna"/>
        <s v="Kaliganj"/>
        <s v="Vogra"/>
        <s v="Sylhet"/>
        <s v="Faridpur"/>
        <s v="Zirani"/>
        <s v="Mirzapur"/>
        <s v="Fauji Chat Kal"/>
      </sharedItems>
    </cacheField>
    <cacheField name="Report To" numFmtId="0">
      <sharedItems/>
    </cacheField>
    <cacheField name="EDOJ" numFmtId="164">
      <sharedItems containsNonDate="0" containsDate="1" containsString="0" containsBlank="1" minDate="2022-12-08T00:00:00" maxDate="2023-10-23T00:00:00"/>
    </cacheField>
    <cacheField name="Gross" numFmtId="1">
      <sharedItems containsString="0" containsBlank="1" containsNumber="1" containsInteger="1" minValue="8500" maxValue="500000"/>
    </cacheField>
    <cacheField name="Gross in USD" numFmtId="1">
      <sharedItems containsString="0" containsBlank="1" containsNumber="1" containsInteger="1" minValue="1800" maxValue="200000"/>
    </cacheField>
    <cacheField name="Salary Unit" numFmtId="0">
      <sharedItems/>
    </cacheField>
    <cacheField name="Mode of vacancy" numFmtId="0">
      <sharedItems count="4">
        <s v="Vacant"/>
        <s v="Contractual"/>
        <s v="New"/>
        <s v="Replacement"/>
      </sharedItems>
    </cacheField>
    <cacheField name="Approval Authority" numFmtId="0">
      <sharedItems containsBlank="1"/>
    </cacheField>
    <cacheField name="Remarks" numFmtId="0">
      <sharedItems containsNonDate="0" containsString="0" containsBlank="1"/>
    </cacheField>
    <cacheField name="count" numFmtId="0">
      <sharedItems containsSemiMixedTypes="0" containsString="0" containsNumber="1" containsInteger="1" minValue="1" maxValue="1"/>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289">
  <r>
    <n v="1"/>
    <x v="0"/>
    <x v="0"/>
    <n v="50910"/>
    <s v="Muhammad Zahidul Islam"/>
    <x v="0"/>
    <x v="0"/>
    <x v="0"/>
    <s v="Senior Executive Director"/>
    <x v="0"/>
    <n v="40000"/>
    <m/>
    <s v="That's It Sports Wear Ltd."/>
    <x v="0"/>
    <s v="MD"/>
    <m/>
    <n v="1"/>
  </r>
  <r>
    <n v="2"/>
    <x v="0"/>
    <x v="0"/>
    <n v="41924"/>
    <s v="Nagesha Krishnappa"/>
    <x v="0"/>
    <x v="1"/>
    <x v="0"/>
    <s v="Director"/>
    <x v="1"/>
    <m/>
    <n v="2700"/>
    <s v="Refat Garments Ltd."/>
    <x v="1"/>
    <s v="MD"/>
    <m/>
    <n v="1"/>
  </r>
  <r>
    <n v="3"/>
    <x v="0"/>
    <x v="0"/>
    <n v="51185"/>
    <s v="Nourin Zahan Elma"/>
    <x v="1"/>
    <x v="2"/>
    <x v="1"/>
    <s v="Director, Human Resources"/>
    <x v="2"/>
    <n v="45000"/>
    <m/>
    <s v="Next Collections Ltd."/>
    <x v="2"/>
    <s v="MD"/>
    <m/>
    <n v="1"/>
  </r>
  <r>
    <n v="4"/>
    <x v="0"/>
    <x v="0"/>
    <n v="51203"/>
    <s v="Kamrul Hasan"/>
    <x v="1"/>
    <x v="2"/>
    <x v="1"/>
    <s v="Director, Human Resources"/>
    <x v="2"/>
    <n v="45000"/>
    <m/>
    <s v="Refat Garments Ltd."/>
    <x v="2"/>
    <s v="MD"/>
    <m/>
    <n v="1"/>
  </r>
  <r>
    <n v="5"/>
    <x v="0"/>
    <x v="0"/>
    <n v="51200"/>
    <s v="Ahmad Nafi-Us-Saleheen"/>
    <x v="1"/>
    <x v="2"/>
    <x v="1"/>
    <s v="Director, Human Resources"/>
    <x v="2"/>
    <n v="45000"/>
    <m/>
    <s v="That's It Sports Wear Ltd."/>
    <x v="2"/>
    <s v="MD"/>
    <m/>
    <n v="1"/>
  </r>
  <r>
    <n v="6"/>
    <x v="0"/>
    <x v="0"/>
    <n v="51204"/>
    <s v="Mamur Nur Amin Chowdhury"/>
    <x v="1"/>
    <x v="2"/>
    <x v="1"/>
    <s v="Director, Human Resources"/>
    <x v="2"/>
    <n v="45000"/>
    <m/>
    <s v="That's It Sports Wear Ltd."/>
    <x v="2"/>
    <s v="MD"/>
    <m/>
    <n v="1"/>
  </r>
  <r>
    <n v="7"/>
    <x v="0"/>
    <x v="0"/>
    <n v="51188"/>
    <s v="Md. Golam Muktadir Asif"/>
    <x v="1"/>
    <x v="2"/>
    <x v="1"/>
    <s v="Director, Human Resources"/>
    <x v="2"/>
    <n v="45000"/>
    <m/>
    <s v="Next Collections Ltd."/>
    <x v="2"/>
    <s v="MD"/>
    <m/>
    <n v="1"/>
  </r>
  <r>
    <n v="8"/>
    <x v="0"/>
    <x v="0"/>
    <n v="51187"/>
    <s v="Sudip Saurav Guha"/>
    <x v="1"/>
    <x v="2"/>
    <x v="1"/>
    <s v="Director, Human Resources"/>
    <x v="2"/>
    <n v="45000"/>
    <m/>
    <s v="Refat Garments Ltd."/>
    <x v="2"/>
    <s v="MD"/>
    <m/>
    <n v="1"/>
  </r>
  <r>
    <n v="9"/>
    <x v="0"/>
    <x v="0"/>
    <n v="50952"/>
    <s v="Md. Arif Shekh"/>
    <x v="2"/>
    <x v="3"/>
    <x v="1"/>
    <s v="Deputy General Manager, Admin"/>
    <x v="0"/>
    <n v="13500"/>
    <m/>
    <s v="Refat Garments Ltd."/>
    <x v="2"/>
    <s v="MD"/>
    <m/>
    <n v="1"/>
  </r>
  <r>
    <n v="10"/>
    <x v="0"/>
    <x v="0"/>
    <n v="50884"/>
    <s v="Johnson Joseph Kavoo"/>
    <x v="3"/>
    <x v="1"/>
    <x v="0"/>
    <s v="Group DMD"/>
    <x v="3"/>
    <m/>
    <n v="2800"/>
    <s v="Apparel Gallery Ltd."/>
    <x v="1"/>
    <s v="MD"/>
    <m/>
    <n v="1"/>
  </r>
  <r>
    <n v="11"/>
    <x v="0"/>
    <x v="0"/>
    <n v="51190"/>
    <s v="Md. Jashim Uddin"/>
    <x v="4"/>
    <x v="4"/>
    <x v="1"/>
    <s v="Assistant General Manager, Commercial"/>
    <x v="2"/>
    <n v="32000"/>
    <m/>
    <s v="Refat Garments Ltd."/>
    <x v="2"/>
    <s v="MD"/>
    <m/>
    <n v="1"/>
  </r>
  <r>
    <n v="12"/>
    <x v="0"/>
    <x v="0"/>
    <n v="51189"/>
    <s v="Kazi Imran"/>
    <x v="4"/>
    <x v="4"/>
    <x v="1"/>
    <s v="Senior Executive Director"/>
    <x v="2"/>
    <n v="30000"/>
    <m/>
    <s v="Refat Garments Ltd."/>
    <x v="2"/>
    <s v="MD"/>
    <m/>
    <n v="1"/>
  </r>
  <r>
    <n v="13"/>
    <x v="0"/>
    <x v="0"/>
    <n v="51194"/>
    <s v="Md. Zulfikar Ali Khan"/>
    <x v="4"/>
    <x v="4"/>
    <x v="1"/>
    <s v="Assistant General Manager, Commercial"/>
    <x v="2"/>
    <n v="28000"/>
    <m/>
    <s v="Refat Garments Ltd."/>
    <x v="2"/>
    <s v="MD"/>
    <m/>
    <n v="1"/>
  </r>
  <r>
    <n v="14"/>
    <x v="0"/>
    <x v="0"/>
    <n v="51205"/>
    <s v="Anu Rajbongshi"/>
    <x v="5"/>
    <x v="4"/>
    <x v="1"/>
    <s v="Assistant General Manager, Commercial"/>
    <x v="2"/>
    <n v="22000"/>
    <m/>
    <s v="That's It Sports Wear Ltd."/>
    <x v="2"/>
    <s v="MD"/>
    <m/>
    <n v="1"/>
  </r>
  <r>
    <n v="15"/>
    <x v="0"/>
    <x v="0"/>
    <n v="50890"/>
    <s v="Al Amin"/>
    <x v="5"/>
    <x v="4"/>
    <x v="1"/>
    <s v="Senior General Manager, Commercial"/>
    <x v="0"/>
    <n v="30000"/>
    <m/>
    <s v="Creative Collection Ltd."/>
    <x v="3"/>
    <s v="MD"/>
    <m/>
    <n v="1"/>
  </r>
  <r>
    <n v="16"/>
    <x v="0"/>
    <x v="0"/>
    <n v="51201"/>
    <s v="Md. Habibur Rashid Shuvon"/>
    <x v="5"/>
    <x v="4"/>
    <x v="1"/>
    <s v="Senior General Manager, Commercial"/>
    <x v="2"/>
    <n v="27000"/>
    <m/>
    <s v="Creative Collection Ltd."/>
    <x v="3"/>
    <s v="MD"/>
    <m/>
    <n v="1"/>
  </r>
  <r>
    <n v="17"/>
    <x v="0"/>
    <x v="0"/>
    <n v="50899"/>
    <s v="Sohag Hossain"/>
    <x v="6"/>
    <x v="3"/>
    <x v="1"/>
    <s v="Deputy General Manager, Admin"/>
    <x v="0"/>
    <n v="12000"/>
    <m/>
    <s v="Refat Garments Ltd."/>
    <x v="3"/>
    <s v="MD"/>
    <m/>
    <n v="1"/>
  </r>
  <r>
    <n v="18"/>
    <x v="0"/>
    <x v="0"/>
    <n v="51196"/>
    <s v="Sohel Sikder"/>
    <x v="7"/>
    <x v="3"/>
    <x v="1"/>
    <s v="Senior General Manager, Commercial"/>
    <x v="2"/>
    <n v="10000"/>
    <m/>
    <s v="Ha-Meem Denim Ltd."/>
    <x v="2"/>
    <s v="MD"/>
    <m/>
    <n v="1"/>
  </r>
  <r>
    <n v="19"/>
    <x v="0"/>
    <x v="0"/>
    <n v="51285"/>
    <s v="Md. Nayeem Sarder"/>
    <x v="7"/>
    <x v="3"/>
    <x v="2"/>
    <s v="Deputy General Manager, Admin"/>
    <x v="2"/>
    <n v="10000"/>
    <m/>
    <s v="Creative Collection Ltd."/>
    <x v="3"/>
    <s v="MD"/>
    <m/>
    <n v="1"/>
  </r>
  <r>
    <n v="20"/>
    <x v="0"/>
    <x v="0"/>
    <n v="50887"/>
    <s v="Md. Rubel Hasan"/>
    <x v="8"/>
    <x v="2"/>
    <x v="3"/>
    <s v="Deputy General Manager, Human Resources"/>
    <x v="4"/>
    <n v="21500"/>
    <m/>
    <s v="Ha-Meem Textiles Ltd."/>
    <x v="0"/>
    <s v="MD"/>
    <m/>
    <n v="1"/>
  </r>
  <r>
    <n v="21"/>
    <x v="0"/>
    <x v="0"/>
    <n v="50901"/>
    <s v="Md. Oliullah "/>
    <x v="9"/>
    <x v="2"/>
    <x v="4"/>
    <s v="Assistant General Manager, Human Resources"/>
    <x v="0"/>
    <n v="65000"/>
    <m/>
    <s v="Bright Wash Ltd."/>
    <x v="2"/>
    <s v="MD"/>
    <m/>
    <n v="1"/>
  </r>
  <r>
    <n v="22"/>
    <x v="0"/>
    <x v="0"/>
    <n v="50903"/>
    <s v="Sk. Tasrifullah"/>
    <x v="5"/>
    <x v="2"/>
    <x v="2"/>
    <s v="Deputy General Manager, Human Resources"/>
    <x v="0"/>
    <n v="23000"/>
    <m/>
    <s v="Creative Collection Ltd."/>
    <x v="3"/>
    <s v="MD"/>
    <m/>
    <n v="1"/>
  </r>
  <r>
    <n v="23"/>
    <x v="0"/>
    <x v="0"/>
    <n v="50902"/>
    <s v="Mostafizur Rahman"/>
    <x v="5"/>
    <x v="2"/>
    <x v="5"/>
    <s v="Executive Director, Admin"/>
    <x v="0"/>
    <n v="23000"/>
    <m/>
    <s v="That's Information Technology Fashion Ltd."/>
    <x v="0"/>
    <s v="MD"/>
    <m/>
    <n v="1"/>
  </r>
  <r>
    <n v="24"/>
    <x v="0"/>
    <x v="0"/>
    <n v="51186"/>
    <s v="Md. Nazrul Islam"/>
    <x v="10"/>
    <x v="2"/>
    <x v="4"/>
    <s v="Assistant General Manager, Human Resources"/>
    <x v="2"/>
    <n v="32000"/>
    <m/>
    <s v="Refat Garments Ltd."/>
    <x v="3"/>
    <s v="MD"/>
    <m/>
    <n v="1"/>
  </r>
  <r>
    <n v="25"/>
    <x v="0"/>
    <x v="0"/>
    <n v="51192"/>
    <s v="Md. Alauddin"/>
    <x v="6"/>
    <x v="3"/>
    <x v="1"/>
    <s v="Deputy General Manager, Admin"/>
    <x v="2"/>
    <n v="12000"/>
    <m/>
    <s v="Ha-Meem Textiles Ltd."/>
    <x v="2"/>
    <s v="MD"/>
    <m/>
    <n v="1"/>
  </r>
  <r>
    <n v="26"/>
    <x v="0"/>
    <x v="0"/>
    <n v="50898"/>
    <s v="Najat Ali"/>
    <x v="9"/>
    <x v="5"/>
    <x v="6"/>
    <s v="General Manager, LHTE"/>
    <x v="0"/>
    <n v="40000"/>
    <m/>
    <s v="Sylhet Planters Ltd."/>
    <x v="0"/>
    <s v="MD"/>
    <m/>
    <n v="1"/>
  </r>
  <r>
    <n v="27"/>
    <x v="0"/>
    <x v="0"/>
    <n v="50904"/>
    <s v="Mahamud Hasan Prince"/>
    <x v="11"/>
    <x v="5"/>
    <x v="6"/>
    <s v="General Manager, LHTE"/>
    <x v="5"/>
    <n v="70000"/>
    <m/>
    <s v="Sylhet Planters Ltd."/>
    <x v="3"/>
    <s v="MD"/>
    <m/>
    <n v="1"/>
  </r>
  <r>
    <n v="28"/>
    <x v="0"/>
    <x v="0"/>
    <n v="51014"/>
    <s v="Firuz Ahammed"/>
    <x v="12"/>
    <x v="6"/>
    <x v="2"/>
    <s v="General Manager, Merchandising"/>
    <x v="6"/>
    <n v="60000"/>
    <m/>
    <s v="Creative Collection Ltd."/>
    <x v="3"/>
    <s v="MD"/>
    <m/>
    <n v="1"/>
  </r>
  <r>
    <n v="29"/>
    <x v="0"/>
    <x v="0"/>
    <n v="51088"/>
    <s v="Moshiur Rahman"/>
    <x v="13"/>
    <x v="6"/>
    <x v="2"/>
    <s v="General Manager, Merchandising"/>
    <x v="7"/>
    <n v="35000"/>
    <m/>
    <s v="Creative Collection Ltd."/>
    <x v="3"/>
    <s v="MD"/>
    <m/>
    <n v="1"/>
  </r>
  <r>
    <n v="30"/>
    <x v="0"/>
    <x v="0"/>
    <n v="51087"/>
    <s v="Md. Imran Hossain"/>
    <x v="13"/>
    <x v="6"/>
    <x v="2"/>
    <s v="General Manager, Merchandising"/>
    <x v="7"/>
    <n v="25000"/>
    <m/>
    <s v="Creative Collection Ltd."/>
    <x v="3"/>
    <s v="MD"/>
    <m/>
    <n v="1"/>
  </r>
  <r>
    <n v="31"/>
    <x v="0"/>
    <x v="0"/>
    <n v="51281"/>
    <s v="Md. Tanvir Hasan"/>
    <x v="12"/>
    <x v="6"/>
    <x v="2"/>
    <s v="General Manager, Merchandising"/>
    <x v="8"/>
    <n v="50000"/>
    <m/>
    <s v="Creative Collection Ltd."/>
    <x v="3"/>
    <s v="MD"/>
    <m/>
    <n v="1"/>
  </r>
  <r>
    <n v="32"/>
    <x v="0"/>
    <x v="0"/>
    <n v="51284"/>
    <s v="Md. Toukir Ahammed"/>
    <x v="13"/>
    <x v="6"/>
    <x v="2"/>
    <s v="General Manager, Merchandising"/>
    <x v="8"/>
    <n v="35000"/>
    <m/>
    <s v="Creative Collection Ltd."/>
    <x v="3"/>
    <s v="MD"/>
    <m/>
    <n v="1"/>
  </r>
  <r>
    <n v="33"/>
    <x v="0"/>
    <x v="0"/>
    <n v="51199"/>
    <s v="Md. Tasnimul Islam Efte"/>
    <x v="14"/>
    <x v="7"/>
    <x v="1"/>
    <s v="Sr. General Manager, Sales &amp; Marketing"/>
    <x v="2"/>
    <n v="22000"/>
    <m/>
    <s v="Ha-Meem Textiles Ltd."/>
    <x v="3"/>
    <s v="MD"/>
    <m/>
    <n v="1"/>
  </r>
  <r>
    <n v="34"/>
    <x v="0"/>
    <x v="0"/>
    <n v="50893"/>
    <s v="Md. Shakil Ahmed"/>
    <x v="15"/>
    <x v="3"/>
    <x v="6"/>
    <s v="Deputy General Manager, Admin"/>
    <x v="0"/>
    <n v="10775"/>
    <m/>
    <s v="Sylhet Planters Ltd."/>
    <x v="3"/>
    <s v="MD"/>
    <m/>
    <n v="1"/>
  </r>
  <r>
    <n v="35"/>
    <x v="0"/>
    <x v="0"/>
    <n v="50894"/>
    <s v="Md. Rony Ahmod"/>
    <x v="15"/>
    <x v="3"/>
    <x v="6"/>
    <s v="Deputy General Manager, Admin"/>
    <x v="0"/>
    <n v="10775"/>
    <m/>
    <s v="Sylhet Planters Ltd."/>
    <x v="3"/>
    <s v="MD"/>
    <m/>
    <n v="1"/>
  </r>
  <r>
    <n v="36"/>
    <x v="0"/>
    <x v="0"/>
    <n v="50897"/>
    <s v="Md. Foysal Ahmed"/>
    <x v="16"/>
    <x v="3"/>
    <x v="1"/>
    <s v="Deputy General Manager, Admin"/>
    <x v="0"/>
    <n v="10775"/>
    <m/>
    <s v="Artistic Design Ltd."/>
    <x v="3"/>
    <s v="MD"/>
    <m/>
    <n v="1"/>
  </r>
  <r>
    <n v="37"/>
    <x v="0"/>
    <x v="0"/>
    <n v="50896"/>
    <s v="Md. Abu Zehad"/>
    <x v="16"/>
    <x v="3"/>
    <x v="1"/>
    <s v="Deputy General Manager, Admin"/>
    <x v="0"/>
    <n v="10775"/>
    <m/>
    <s v="Refat Garments Ltd."/>
    <x v="3"/>
    <s v="MD"/>
    <m/>
    <n v="1"/>
  </r>
  <r>
    <n v="38"/>
    <x v="0"/>
    <x v="0"/>
    <n v="50895"/>
    <s v="Md. Anisur Rahaman Anis"/>
    <x v="16"/>
    <x v="3"/>
    <x v="1"/>
    <s v="Deputy General Manager, Admin"/>
    <x v="0"/>
    <n v="10775"/>
    <m/>
    <s v="Refat Garments Ltd."/>
    <x v="3"/>
    <s v="MD"/>
    <m/>
    <n v="1"/>
  </r>
  <r>
    <n v="39"/>
    <x v="0"/>
    <x v="0"/>
    <n v="51191"/>
    <s v="Md. Raihan Udden"/>
    <x v="15"/>
    <x v="3"/>
    <x v="1"/>
    <s v="Deputy General Manager, Admin"/>
    <x v="2"/>
    <n v="10775"/>
    <m/>
    <s v="Refat Garments Ltd."/>
    <x v="3"/>
    <s v="MD"/>
    <m/>
    <n v="1"/>
  </r>
  <r>
    <n v="40"/>
    <x v="0"/>
    <x v="0"/>
    <n v="50983"/>
    <s v="Md. Juwel Sheikh"/>
    <x v="17"/>
    <x v="3"/>
    <x v="1"/>
    <s v="Officer, Admin"/>
    <x v="9"/>
    <n v="14000"/>
    <m/>
    <s v="Artistic Design Ltd."/>
    <x v="0"/>
    <s v="MD"/>
    <m/>
    <n v="1"/>
  </r>
  <r>
    <n v="41"/>
    <x v="0"/>
    <x v="0"/>
    <n v="50982"/>
    <s v="Md. Jafor Sadik"/>
    <x v="18"/>
    <x v="3"/>
    <x v="1"/>
    <s v="Officer, Admin"/>
    <x v="10"/>
    <n v="8500"/>
    <m/>
    <s v="Artistic Design Ltd."/>
    <x v="3"/>
    <s v="MD"/>
    <m/>
    <n v="1"/>
  </r>
  <r>
    <n v="42"/>
    <x v="0"/>
    <x v="0"/>
    <n v="51291"/>
    <s v="Mohammad Mizanur Rahman"/>
    <x v="19"/>
    <x v="8"/>
    <x v="2"/>
    <s v="General Manager, Finance &amp; Accounts"/>
    <x v="2"/>
    <n v="170000"/>
    <m/>
    <s v="Creative Collection Ltd."/>
    <x v="2"/>
    <s v="MD"/>
    <m/>
    <n v="1"/>
  </r>
  <r>
    <n v="43"/>
    <x v="0"/>
    <x v="1"/>
    <n v="51514"/>
    <s v="Md. Sheikh Sadi"/>
    <x v="20"/>
    <x v="3"/>
    <x v="7"/>
    <s v="Deputy General Manager, Admin"/>
    <x v="11"/>
    <n v="9000"/>
    <m/>
    <s v="Creative Collection Ltd."/>
    <x v="1"/>
    <s v="MD"/>
    <m/>
    <n v="1"/>
  </r>
  <r>
    <n v="44"/>
    <x v="0"/>
    <x v="1"/>
    <n v="51368"/>
    <s v="Md. Moddassar Hosan"/>
    <x v="21"/>
    <x v="3"/>
    <x v="1"/>
    <s v="Deputy General Manager, Admin"/>
    <x v="12"/>
    <n v="14000"/>
    <m/>
    <s v="Next Collection Ltd."/>
    <x v="0"/>
    <s v="MD"/>
    <m/>
    <n v="1"/>
  </r>
  <r>
    <n v="45"/>
    <x v="0"/>
    <x v="1"/>
    <n v="51577"/>
    <s v="Kamrul Hasan"/>
    <x v="0"/>
    <x v="3"/>
    <x v="3"/>
    <s v="Executive Director, DSW"/>
    <x v="13"/>
    <n v="200000"/>
    <m/>
    <s v="Ha-Meem Denim Ltd."/>
    <x v="3"/>
    <s v="MD"/>
    <m/>
    <n v="1"/>
  </r>
  <r>
    <n v="46"/>
    <x v="0"/>
    <x v="1"/>
    <n v="51910"/>
    <s v="Alamgir Khaled"/>
    <x v="4"/>
    <x v="4"/>
    <x v="1"/>
    <s v="Assistant General Manager, Commercial"/>
    <x v="14"/>
    <n v="27000"/>
    <m/>
    <s v="Refat Garments Ltd."/>
    <x v="2"/>
    <s v="MD"/>
    <m/>
    <n v="1"/>
  </r>
  <r>
    <n v="47"/>
    <x v="0"/>
    <x v="1"/>
    <n v="51901"/>
    <s v="Md. Ripon Ali"/>
    <x v="4"/>
    <x v="4"/>
    <x v="1"/>
    <s v="Assistant General Manager, Commercial"/>
    <x v="14"/>
    <n v="27000"/>
    <m/>
    <s v="Refat Garments Ltd."/>
    <x v="2"/>
    <s v="MD"/>
    <m/>
    <n v="1"/>
  </r>
  <r>
    <n v="48"/>
    <x v="0"/>
    <x v="1"/>
    <n v="51914"/>
    <s v="Ashim Biswas"/>
    <x v="4"/>
    <x v="4"/>
    <x v="1"/>
    <s v="Assistant General Manager, Commercial"/>
    <x v="14"/>
    <n v="22000"/>
    <m/>
    <s v="Refat Garments Ltd."/>
    <x v="2"/>
    <s v="MD"/>
    <m/>
    <n v="1"/>
  </r>
  <r>
    <n v="49"/>
    <x v="0"/>
    <x v="1"/>
    <n v="51905"/>
    <s v="Md. Abdulla"/>
    <x v="4"/>
    <x v="4"/>
    <x v="1"/>
    <s v="Assistant General Manager, Commercial"/>
    <x v="14"/>
    <n v="15000"/>
    <m/>
    <s v="Refat Garments Ltd."/>
    <x v="2"/>
    <s v="MD"/>
    <m/>
    <n v="1"/>
  </r>
  <r>
    <n v="50"/>
    <x v="0"/>
    <x v="1"/>
    <n v="51346"/>
    <s v="Shafiqul Islam"/>
    <x v="22"/>
    <x v="9"/>
    <x v="2"/>
    <s v="Assistant General Manager, Engineering"/>
    <x v="12"/>
    <n v="67000"/>
    <m/>
    <s v="Casual Garments Ltd."/>
    <x v="3"/>
    <s v="MD"/>
    <m/>
    <n v="1"/>
  </r>
  <r>
    <n v="51"/>
    <x v="0"/>
    <x v="1"/>
    <n v="51333"/>
    <s v="Md. Masum "/>
    <x v="23"/>
    <x v="9"/>
    <x v="2"/>
    <s v="Assistant General Manager, Engineering"/>
    <x v="12"/>
    <n v="22000"/>
    <m/>
    <s v="Creative Collection Ltd."/>
    <x v="0"/>
    <s v="MD"/>
    <m/>
    <n v="1"/>
  </r>
  <r>
    <n v="52"/>
    <x v="0"/>
    <x v="1"/>
    <n v="51338"/>
    <s v="Md. Rafy Uddin Shanto"/>
    <x v="23"/>
    <x v="9"/>
    <x v="0"/>
    <s v="General Manager, Engineering"/>
    <x v="12"/>
    <n v="21000"/>
    <m/>
    <s v="Express Washing &amp; Dyeing Ltd."/>
    <x v="0"/>
    <s v="MD"/>
    <m/>
    <n v="1"/>
  </r>
  <r>
    <n v="53"/>
    <x v="0"/>
    <x v="1"/>
    <n v="51349"/>
    <s v="Gourob Saha"/>
    <x v="23"/>
    <x v="9"/>
    <x v="0"/>
    <s v="General Manager, Engineering"/>
    <x v="12"/>
    <n v="21000"/>
    <m/>
    <s v="Artistic Design Ltd."/>
    <x v="0"/>
    <s v="MD"/>
    <m/>
    <n v="1"/>
  </r>
  <r>
    <n v="54"/>
    <x v="0"/>
    <x v="1"/>
    <n v="51336"/>
    <s v="Most Tania Sultana"/>
    <x v="23"/>
    <x v="9"/>
    <x v="0"/>
    <s v="General Manager, Engineering"/>
    <x v="12"/>
    <n v="22000"/>
    <m/>
    <s v="That's It Sports Wear Ltd."/>
    <x v="0"/>
    <s v="MD"/>
    <m/>
    <n v="1"/>
  </r>
  <r>
    <n v="55"/>
    <x v="0"/>
    <x v="1"/>
    <n v="51344"/>
    <s v="Md. Kamrul Ahsan"/>
    <x v="19"/>
    <x v="8"/>
    <x v="1"/>
    <s v="Executive Director, Finance &amp; Accounts"/>
    <x v="12"/>
    <n v="195000"/>
    <m/>
    <s v="Refat Garments Ltd."/>
    <x v="0"/>
    <s v="MD"/>
    <m/>
    <n v="1"/>
  </r>
  <r>
    <n v="56"/>
    <x v="0"/>
    <x v="1"/>
    <n v="51373"/>
    <s v="Mohammad Lutfor Rahman"/>
    <x v="24"/>
    <x v="8"/>
    <x v="1"/>
    <s v="Executive Director, Finance &amp; Accounts"/>
    <x v="12"/>
    <n v="195000"/>
    <m/>
    <s v="Refat Garments Ltd."/>
    <x v="3"/>
    <s v="MD"/>
    <m/>
    <n v="1"/>
  </r>
  <r>
    <n v="57"/>
    <x v="0"/>
    <x v="1"/>
    <n v="51909"/>
    <s v="Md. Monirul Islam Newton"/>
    <x v="24"/>
    <x v="8"/>
    <x v="1"/>
    <s v="Executive Director, Finance &amp; Accounts"/>
    <x v="14"/>
    <n v="200000"/>
    <m/>
    <s v="That's It Sports Wear Ltd."/>
    <x v="3"/>
    <s v="MD"/>
    <m/>
    <n v="1"/>
  </r>
  <r>
    <n v="58"/>
    <x v="0"/>
    <x v="1"/>
    <n v="51372"/>
    <s v="Jinnat Afrin"/>
    <x v="5"/>
    <x v="2"/>
    <x v="1"/>
    <s v="General Manager, Human Resources"/>
    <x v="12"/>
    <n v="20000"/>
    <m/>
    <s v="Refat Garments Ltd."/>
    <x v="0"/>
    <s v="MD"/>
    <m/>
    <n v="1"/>
  </r>
  <r>
    <n v="59"/>
    <x v="0"/>
    <x v="1"/>
    <n v="51916"/>
    <s v="Taif Bin Islam"/>
    <x v="5"/>
    <x v="2"/>
    <x v="1"/>
    <s v="General Manager, Human Resources"/>
    <x v="14"/>
    <n v="24000"/>
    <m/>
    <s v="Creative Collection Ltd."/>
    <x v="3"/>
    <s v="MD"/>
    <m/>
    <n v="1"/>
  </r>
  <r>
    <n v="60"/>
    <x v="0"/>
    <x v="1"/>
    <n v="51906"/>
    <s v="Dewan Rafatul Rohan"/>
    <x v="5"/>
    <x v="2"/>
    <x v="1"/>
    <s v="General Manager, Human Resources"/>
    <x v="14"/>
    <n v="28000"/>
    <m/>
    <s v="Creative Collection Ltd."/>
    <x v="0"/>
    <s v="MD"/>
    <m/>
    <n v="1"/>
  </r>
  <r>
    <n v="61"/>
    <x v="0"/>
    <x v="1"/>
    <n v="51770"/>
    <s v="S. M. Sultan Ahmed"/>
    <x v="25"/>
    <x v="6"/>
    <x v="2"/>
    <s v="General Manager, Merchandising"/>
    <x v="15"/>
    <n v="67000"/>
    <m/>
    <s v="Creative Collection Ltd."/>
    <x v="3"/>
    <s v="MD"/>
    <m/>
    <n v="1"/>
  </r>
  <r>
    <n v="62"/>
    <x v="0"/>
    <x v="1"/>
    <n v="51307"/>
    <s v="Md. Zahid Hossain"/>
    <x v="12"/>
    <x v="6"/>
    <x v="1"/>
    <s v="Assistant General Manager, Merchandising"/>
    <x v="16"/>
    <n v="70000"/>
    <m/>
    <s v="Apparel Gallery Ltd."/>
    <x v="3"/>
    <s v="MD"/>
    <m/>
    <n v="1"/>
  </r>
  <r>
    <n v="63"/>
    <x v="0"/>
    <x v="1"/>
    <n v="51626"/>
    <s v="Md. Rakibul Alom"/>
    <x v="26"/>
    <x v="6"/>
    <x v="2"/>
    <s v="Deputy General Manager, Merchandising"/>
    <x v="13"/>
    <n v="20000"/>
    <m/>
    <s v="Creative Collection Ltd."/>
    <x v="3"/>
    <s v="Director"/>
    <m/>
    <n v="1"/>
  </r>
  <r>
    <n v="64"/>
    <x v="0"/>
    <x v="1"/>
    <n v="51410"/>
    <s v="Samiul Islam Siam"/>
    <x v="26"/>
    <x v="6"/>
    <x v="2"/>
    <s v="Deputy General Manager, Merchandising"/>
    <x v="12"/>
    <n v="20000"/>
    <m/>
    <s v="Creative Collection Ltd."/>
    <x v="3"/>
    <s v="Director"/>
    <m/>
    <n v="1"/>
  </r>
  <r>
    <n v="65"/>
    <x v="0"/>
    <x v="1"/>
    <n v="52058"/>
    <s v="M Zillur Raihan Bhuiyan"/>
    <x v="12"/>
    <x v="6"/>
    <x v="2"/>
    <s v="Deputy General Manager, Merchandising"/>
    <x v="17"/>
    <n v="55000"/>
    <m/>
    <s v="Creative Collection Ltd."/>
    <x v="3"/>
    <s v="Director"/>
    <m/>
    <n v="1"/>
  </r>
  <r>
    <n v="66"/>
    <x v="0"/>
    <x v="1"/>
    <n v="51920"/>
    <s v="Zahairul Haque"/>
    <x v="5"/>
    <x v="10"/>
    <x v="1"/>
    <s v="Assistant Manager, Accessories Procurement"/>
    <x v="14"/>
    <n v="32000"/>
    <m/>
    <s v="Next Collection Ltd."/>
    <x v="3"/>
    <s v="MD"/>
    <m/>
    <n v="1"/>
  </r>
  <r>
    <n v="67"/>
    <x v="0"/>
    <x v="1"/>
    <n v="51335"/>
    <s v="Khaled Akter Maya"/>
    <x v="5"/>
    <x v="10"/>
    <x v="1"/>
    <s v="Assistant General Manager, Procurement &amp; Development"/>
    <x v="12"/>
    <n v="35000"/>
    <m/>
    <s v="Refat Garments Ltd."/>
    <x v="3"/>
    <s v="MD"/>
    <m/>
    <n v="1"/>
  </r>
  <r>
    <n v="68"/>
    <x v="0"/>
    <x v="1"/>
    <n v="51371"/>
    <s v="Udoy Chand Pandit"/>
    <x v="5"/>
    <x v="10"/>
    <x v="1"/>
    <s v="Assistant General Manager, Procurement &amp; Development"/>
    <x v="12"/>
    <n v="30000"/>
    <m/>
    <s v="Artistic Design Ltd."/>
    <x v="3"/>
    <s v="MD"/>
    <m/>
    <n v="1"/>
  </r>
  <r>
    <n v="69"/>
    <x v="0"/>
    <x v="1"/>
    <n v="51350"/>
    <s v="Md. Motahasin Takib"/>
    <x v="5"/>
    <x v="10"/>
    <x v="1"/>
    <s v="Deputy General Manager, Procurement &amp; Development"/>
    <x v="12"/>
    <n v="25000"/>
    <m/>
    <s v="Creative Collection Ltd."/>
    <x v="0"/>
    <s v="MD"/>
    <m/>
    <n v="1"/>
  </r>
  <r>
    <n v="70"/>
    <x v="0"/>
    <x v="1"/>
    <n v="51501"/>
    <s v="Reggie Peter Sebastian"/>
    <x v="0"/>
    <x v="1"/>
    <x v="0"/>
    <s v="Director"/>
    <x v="18"/>
    <m/>
    <n v="3000"/>
    <s v="That's It Sports Wear Ltd."/>
    <x v="1"/>
    <s v="MD"/>
    <m/>
    <n v="1"/>
  </r>
  <r>
    <n v="71"/>
    <x v="0"/>
    <x v="1"/>
    <n v="51375"/>
    <s v="Zafreed Iqbal"/>
    <x v="5"/>
    <x v="7"/>
    <x v="1"/>
    <s v="Senior General Manager, Sales &amp; Marketing"/>
    <x v="12"/>
    <n v="25000"/>
    <m/>
    <s v="Ha-Meem Textiles Ltd."/>
    <x v="0"/>
    <s v="MD"/>
    <m/>
    <n v="1"/>
  </r>
  <r>
    <n v="72"/>
    <x v="0"/>
    <x v="1"/>
    <n v="51334"/>
    <s v="Salman Samir"/>
    <x v="15"/>
    <x v="3"/>
    <x v="1"/>
    <s v="Deputy General Manager, Admin"/>
    <x v="12"/>
    <n v="10775"/>
    <m/>
    <s v="Creative Collection Ltd."/>
    <x v="3"/>
    <s v="MD"/>
    <m/>
    <n v="1"/>
  </r>
  <r>
    <n v="73"/>
    <x v="0"/>
    <x v="1"/>
    <n v="51918"/>
    <s v="Md. Mostafizur Rahman"/>
    <x v="5"/>
    <x v="3"/>
    <x v="1"/>
    <s v="Deputy General Manager, Admin"/>
    <x v="14"/>
    <n v="25000"/>
    <m/>
    <s v="Refat Garments Ltd."/>
    <x v="3"/>
    <s v="MD"/>
    <m/>
    <n v="1"/>
  </r>
  <r>
    <n v="74"/>
    <x v="0"/>
    <x v="1"/>
    <n v="51903"/>
    <s v="Olle Ullah Ahammed"/>
    <x v="15"/>
    <x v="3"/>
    <x v="1"/>
    <s v="Deputy General Manager, Admin"/>
    <x v="14"/>
    <n v="10775"/>
    <m/>
    <s v="Refat Garments Ltd."/>
    <x v="0"/>
    <s v="MD"/>
    <m/>
    <n v="1"/>
  </r>
  <r>
    <n v="75"/>
    <x v="0"/>
    <x v="1"/>
    <n v="51913"/>
    <s v="Md. Faruque Chowdhury"/>
    <x v="0"/>
    <x v="11"/>
    <x v="6"/>
    <s v="Managing Director"/>
    <x v="14"/>
    <n v="250000"/>
    <m/>
    <s v="Sylhet Planters Ltd."/>
    <x v="1"/>
    <s v="MD"/>
    <m/>
    <n v="1"/>
  </r>
  <r>
    <n v="76"/>
    <x v="0"/>
    <x v="2"/>
    <n v="52101"/>
    <s v="Ajouwad Khandoker"/>
    <x v="27"/>
    <x v="8"/>
    <x v="1"/>
    <s v="DMD, SPM"/>
    <x v="19"/>
    <n v="30000"/>
    <m/>
    <s v="That's It Sports Wear Ltd."/>
    <x v="2"/>
    <s v="MD"/>
    <m/>
    <n v="1"/>
  </r>
  <r>
    <n v="77"/>
    <x v="0"/>
    <x v="2"/>
    <n v="52100"/>
    <s v="Md. Farhad Islam"/>
    <x v="3"/>
    <x v="8"/>
    <x v="1"/>
    <s v="Assistant General Manager, ERP"/>
    <x v="19"/>
    <n v="105000"/>
    <m/>
    <s v="Ha-Meem Denim Ltd."/>
    <x v="2"/>
    <s v="MD"/>
    <m/>
    <n v="1"/>
  </r>
  <r>
    <n v="78"/>
    <x v="0"/>
    <x v="2"/>
    <n v="52813"/>
    <s v="Mizanur Rahaman"/>
    <x v="9"/>
    <x v="8"/>
    <x v="1"/>
    <s v="Assistant General Manager, ERP"/>
    <x v="20"/>
    <n v="80000"/>
    <m/>
    <s v="Ha-Meem Denim Ltd."/>
    <x v="2"/>
    <s v="MD"/>
    <m/>
    <n v="1"/>
  </r>
  <r>
    <n v="79"/>
    <x v="0"/>
    <x v="2"/>
    <n v="52814"/>
    <s v="Saidur Rahman"/>
    <x v="5"/>
    <x v="8"/>
    <x v="1"/>
    <s v="General Manager, Finance &amp; Accounts"/>
    <x v="20"/>
    <n v="24000"/>
    <m/>
    <s v="Refat Garments Ltd."/>
    <x v="2"/>
    <s v="MD"/>
    <m/>
    <n v="1"/>
  </r>
  <r>
    <n v="80"/>
    <x v="0"/>
    <x v="2"/>
    <n v="52109"/>
    <s v="Md. Haseful Hassan"/>
    <x v="9"/>
    <x v="2"/>
    <x v="4"/>
    <s v="General Manager, Human Resources"/>
    <x v="19"/>
    <n v="60000"/>
    <m/>
    <s v="Refat Garments Ltd."/>
    <x v="0"/>
    <s v="MD"/>
    <m/>
    <n v="1"/>
  </r>
  <r>
    <n v="81"/>
    <x v="0"/>
    <x v="2"/>
    <n v="52097"/>
    <s v="Enamul Haque"/>
    <x v="3"/>
    <x v="2"/>
    <x v="8"/>
    <s v="Executive Director, Admin"/>
    <x v="19"/>
    <n v="65000"/>
    <m/>
    <s v="That's It Ltd."/>
    <x v="3"/>
    <s v="MD"/>
    <m/>
    <n v="1"/>
  </r>
  <r>
    <n v="82"/>
    <x v="0"/>
    <x v="2"/>
    <n v="52405"/>
    <s v="Md. Sohag Rana"/>
    <x v="25"/>
    <x v="6"/>
    <x v="2"/>
    <s v="Deputy General Manager, Merchandising"/>
    <x v="21"/>
    <n v="65000"/>
    <m/>
    <s v="Creative Collection Ltd."/>
    <x v="3"/>
    <s v="Director"/>
    <m/>
    <n v="1"/>
  </r>
  <r>
    <n v="83"/>
    <x v="0"/>
    <x v="2"/>
    <n v="52818"/>
    <s v="Md. Zamil Hasan Talukder"/>
    <x v="26"/>
    <x v="6"/>
    <x v="1"/>
    <s v="Assistant General Manager, Merchandising"/>
    <x v="20"/>
    <n v="20000"/>
    <m/>
    <s v="Creative Collection Ltd."/>
    <x v="2"/>
    <s v="MD"/>
    <m/>
    <n v="1"/>
  </r>
  <r>
    <n v="84"/>
    <x v="0"/>
    <x v="2"/>
    <n v="52128"/>
    <s v="Nazmul Hossain"/>
    <x v="26"/>
    <x v="6"/>
    <x v="1"/>
    <s v="Assistant General Manager, Merchandisng"/>
    <x v="19"/>
    <n v="20000"/>
    <m/>
    <s v="Artistic Design Ltd."/>
    <x v="3"/>
    <s v="Group DMD"/>
    <m/>
    <n v="1"/>
  </r>
  <r>
    <n v="85"/>
    <x v="0"/>
    <x v="2"/>
    <n v="52102"/>
    <s v="Md. Anwar Hossain"/>
    <x v="9"/>
    <x v="12"/>
    <x v="1"/>
    <s v="Assistant General Manager, ERP"/>
    <x v="19"/>
    <n v="70000"/>
    <m/>
    <s v="Creative Collection Ltd."/>
    <x v="2"/>
    <s v="MD"/>
    <m/>
    <n v="1"/>
  </r>
  <r>
    <n v="86"/>
    <x v="0"/>
    <x v="2"/>
    <n v="52819"/>
    <s v="Md. Aminul Islam"/>
    <x v="0"/>
    <x v="0"/>
    <x v="9"/>
    <s v="Executive Director, PPC"/>
    <x v="20"/>
    <n v="250000"/>
    <m/>
    <s v="Explore Garments Ltd."/>
    <x v="2"/>
    <s v="MD"/>
    <m/>
    <n v="1"/>
  </r>
  <r>
    <n v="87"/>
    <x v="0"/>
    <x v="2"/>
    <n v="52087"/>
    <s v="Jagath Srinath Wickramarachchi"/>
    <x v="0"/>
    <x v="1"/>
    <x v="2"/>
    <s v="Director"/>
    <x v="22"/>
    <m/>
    <n v="5000"/>
    <s v="Creative Collection Ltd."/>
    <x v="1"/>
    <s v="MD"/>
    <m/>
    <n v="1"/>
  </r>
  <r>
    <n v="88"/>
    <x v="0"/>
    <x v="2"/>
    <n v="52808"/>
    <s v="Mohammad Shamim Taloukder"/>
    <x v="28"/>
    <x v="3"/>
    <x v="1"/>
    <s v="Deputy General Manager, Admin"/>
    <x v="20"/>
    <n v="20000"/>
    <m/>
    <s v="Refat Garments Ltd."/>
    <x v="0"/>
    <s v="MD"/>
    <m/>
    <n v="1"/>
  </r>
  <r>
    <n v="89"/>
    <x v="0"/>
    <x v="2"/>
    <n v="52086"/>
    <s v="Nihal Rathnayake"/>
    <x v="0"/>
    <x v="0"/>
    <x v="0"/>
    <s v="Group DMD"/>
    <x v="23"/>
    <m/>
    <n v="4000"/>
    <s v="That's It Sports Wear Ltd."/>
    <x v="1"/>
    <s v="MD"/>
    <m/>
    <n v="1"/>
  </r>
  <r>
    <n v="90"/>
    <x v="0"/>
    <x v="2"/>
    <n v="52068"/>
    <s v="Md. Sohel Rana"/>
    <x v="17"/>
    <x v="3"/>
    <x v="1"/>
    <s v="Deputy General Manager, Admin"/>
    <x v="19"/>
    <n v="15000"/>
    <m/>
    <s v="That's It Sports Wear Ltd."/>
    <x v="0"/>
    <s v="MD"/>
    <m/>
    <n v="1"/>
  </r>
  <r>
    <n v="91"/>
    <x v="0"/>
    <x v="2"/>
    <n v="52809"/>
    <s v="Kamruzzaman"/>
    <x v="17"/>
    <x v="3"/>
    <x v="1"/>
    <s v="Deputy General Manager, Admin"/>
    <x v="20"/>
    <n v="18000"/>
    <m/>
    <s v="Refat Garments Ltd."/>
    <x v="0"/>
    <s v="MD"/>
    <m/>
    <n v="1"/>
  </r>
  <r>
    <n v="92"/>
    <x v="0"/>
    <x v="2"/>
    <s v="A1000"/>
    <s v="Md. Miraz Khan"/>
    <x v="26"/>
    <x v="6"/>
    <x v="2"/>
    <s v="General Manager"/>
    <x v="24"/>
    <n v="20000"/>
    <m/>
    <s v="Creative Collection Ltd."/>
    <x v="3"/>
    <s v="Director"/>
    <m/>
    <n v="1"/>
  </r>
  <r>
    <n v="93"/>
    <x v="0"/>
    <x v="2"/>
    <s v="A4000"/>
    <s v="Tushar Paul"/>
    <x v="29"/>
    <x v="13"/>
    <x v="2"/>
    <s v="Assistant Manager"/>
    <x v="24"/>
    <n v="55000"/>
    <m/>
    <s v="Creative Collection Ltd."/>
    <x v="3"/>
    <s v="Director"/>
    <m/>
    <n v="1"/>
  </r>
  <r>
    <n v="94"/>
    <x v="0"/>
    <x v="2"/>
    <s v="A4000"/>
    <s v="Sumith Nandana Jayasuriya Mudalige"/>
    <x v="0"/>
    <x v="14"/>
    <x v="4"/>
    <s v="Executive Director"/>
    <x v="25"/>
    <m/>
    <n v="3500"/>
    <s v="Bright Wash Ltd."/>
    <x v="1"/>
    <m/>
    <m/>
    <n v="1"/>
  </r>
  <r>
    <n v="95"/>
    <x v="0"/>
    <x v="2"/>
    <s v="A4002"/>
    <s v="Reza Md. Shehab Uddin Sharawardi"/>
    <x v="0"/>
    <x v="10"/>
    <x v="1"/>
    <s v="Executive Director"/>
    <x v="26"/>
    <m/>
    <n v="150000"/>
    <s v="That's It Sports Wear Ltd."/>
    <x v="3"/>
    <m/>
    <m/>
    <n v="1"/>
  </r>
  <r>
    <n v="96"/>
    <x v="0"/>
    <x v="2"/>
    <s v="A4003"/>
    <s v="Md. Feroz Kobir Prodhan"/>
    <x v="0"/>
    <x v="2"/>
    <x v="8"/>
    <s v="Director"/>
    <x v="26"/>
    <m/>
    <n v="200000"/>
    <s v="That's It Knit Ltd"/>
    <x v="3"/>
    <m/>
    <m/>
    <n v="1"/>
  </r>
  <r>
    <n v="97"/>
    <x v="0"/>
    <x v="3"/>
    <s v="053155"/>
    <s v="Muhammad Nayeem Siddique"/>
    <x v="3"/>
    <x v="3"/>
    <x v="1"/>
    <s v="Director"/>
    <x v="27"/>
    <n v="68000"/>
    <m/>
    <s v="Refat Garments Ltd."/>
    <x v="2"/>
    <s v="MD"/>
    <m/>
    <n v="1"/>
  </r>
  <r>
    <n v="98"/>
    <x v="0"/>
    <x v="3"/>
    <s v="053147"/>
    <s v="Nihad Hasan"/>
    <x v="10"/>
    <x v="3"/>
    <x v="1"/>
    <s v="Director"/>
    <x v="27"/>
    <n v="38000"/>
    <m/>
    <s v="Refat Garments Ltd."/>
    <x v="2"/>
    <s v="MD"/>
    <m/>
    <n v="1"/>
  </r>
  <r>
    <n v="99"/>
    <x v="0"/>
    <x v="3"/>
    <s v="053157"/>
    <s v="Md. Anwarul Islam"/>
    <x v="5"/>
    <x v="3"/>
    <x v="1"/>
    <s v="Senior Executive Director, HTZ"/>
    <x v="27"/>
    <n v="30000"/>
    <m/>
    <s v="Ha-Meem Denim Ltd."/>
    <x v="3"/>
    <s v="MD"/>
    <m/>
    <n v="1"/>
  </r>
  <r>
    <n v="100"/>
    <x v="0"/>
    <x v="3"/>
    <s v="053151"/>
    <s v="Md. Sajjad Hossen"/>
    <x v="30"/>
    <x v="3"/>
    <x v="1"/>
    <s v="Deputy General Manager, Admin"/>
    <x v="27"/>
    <n v="18000"/>
    <m/>
    <s v="Refat Garments Ltd."/>
    <x v="3"/>
    <s v="MD"/>
    <m/>
    <n v="1"/>
  </r>
  <r>
    <n v="101"/>
    <x v="0"/>
    <x v="3"/>
    <s v="053146"/>
    <s v="Md. Besal Ahmed"/>
    <x v="31"/>
    <x v="13"/>
    <x v="1"/>
    <s v="General Manager, Design &amp; Development"/>
    <x v="27"/>
    <n v="35000"/>
    <m/>
    <s v="That's It Sports Wear Ltd."/>
    <x v="3"/>
    <s v="MD"/>
    <m/>
    <n v="1"/>
  </r>
  <r>
    <n v="102"/>
    <x v="0"/>
    <x v="3"/>
    <s v="053156"/>
    <s v="Mohammad Arif Mohiuddin"/>
    <x v="11"/>
    <x v="12"/>
    <x v="1"/>
    <s v="Assistant General Manager, ERP"/>
    <x v="27"/>
    <n v="85000"/>
    <m/>
    <s v="Ha-Meem Denim Ltd."/>
    <x v="2"/>
    <s v="MD"/>
    <m/>
    <n v="1"/>
  </r>
  <r>
    <n v="103"/>
    <x v="0"/>
    <x v="3"/>
    <s v="053158"/>
    <s v="Syed Ekram Shibly"/>
    <x v="27"/>
    <x v="3"/>
    <x v="1"/>
    <s v="Director"/>
    <x v="27"/>
    <n v="42000"/>
    <m/>
    <s v="Creative Collection Ltd."/>
    <x v="2"/>
    <s v="MD"/>
    <m/>
    <n v="1"/>
  </r>
  <r>
    <n v="104"/>
    <x v="0"/>
    <x v="3"/>
    <s v="053153"/>
    <s v="Md. Al Rajib Hasan Kazal"/>
    <x v="10"/>
    <x v="2"/>
    <x v="2"/>
    <s v="General Manager, Human Resources"/>
    <x v="27"/>
    <n v="33000"/>
    <m/>
    <s v="Creative Collection Ltd."/>
    <x v="3"/>
    <s v="MD"/>
    <m/>
    <n v="1"/>
  </r>
  <r>
    <n v="105"/>
    <x v="0"/>
    <x v="3"/>
    <s v="053145"/>
    <s v="Md. Monayem Khan"/>
    <x v="5"/>
    <x v="2"/>
    <x v="2"/>
    <s v="Assistant General Manager, Human Resources"/>
    <x v="27"/>
    <n v="30000"/>
    <m/>
    <s v="Creative Garments Ltd."/>
    <x v="3"/>
    <s v="MD"/>
    <m/>
    <n v="1"/>
  </r>
  <r>
    <n v="106"/>
    <x v="0"/>
    <x v="3"/>
    <s v="053149"/>
    <s v="Md. Safatuzzaman Chowdhury"/>
    <x v="9"/>
    <x v="2"/>
    <x v="3"/>
    <s v="Deputy General Manager, Human Resources"/>
    <x v="27"/>
    <n v="55000"/>
    <m/>
    <s v="Ha-Meem Textiles Ltd."/>
    <x v="3"/>
    <s v="MD"/>
    <m/>
    <n v="1"/>
  </r>
  <r>
    <n v="107"/>
    <x v="0"/>
    <x v="3"/>
    <s v="053348"/>
    <s v="Md. Masum Bil Karim"/>
    <x v="32"/>
    <x v="2"/>
    <x v="2"/>
    <s v="General Manager, Human Resources"/>
    <x v="28"/>
    <n v="130000"/>
    <m/>
    <s v="Creative Collection Ltd."/>
    <x v="3"/>
    <s v="MD"/>
    <m/>
    <n v="1"/>
  </r>
  <r>
    <n v="108"/>
    <x v="0"/>
    <x v="3"/>
    <s v="053324"/>
    <s v="Tamal Mazumder"/>
    <x v="33"/>
    <x v="15"/>
    <x v="1"/>
    <s v="Assistant General Manager, Information Technology"/>
    <x v="29"/>
    <n v="27000"/>
    <m/>
    <s v="That's It Sports Wear Ltd."/>
    <x v="3"/>
    <s v="MD"/>
    <m/>
    <n v="1"/>
  </r>
  <r>
    <n v="109"/>
    <x v="0"/>
    <x v="3"/>
    <s v="053323"/>
    <s v="Md. Elahi Siam"/>
    <x v="5"/>
    <x v="10"/>
    <x v="2"/>
    <s v="Deputy General Manager, Procurement &amp; Development"/>
    <x v="29"/>
    <n v="25000"/>
    <m/>
    <s v="Refat Garments Ltd."/>
    <x v="3"/>
    <s v="MD"/>
    <m/>
    <n v="1"/>
  </r>
  <r>
    <n v="110"/>
    <x v="0"/>
    <x v="3"/>
    <s v="053224"/>
    <s v="Md. Akikur Rahman Khan"/>
    <x v="12"/>
    <x v="6"/>
    <x v="2"/>
    <s v="Assistant General Manager, Merchandising"/>
    <x v="30"/>
    <n v="56000"/>
    <m/>
    <s v="Creative Collection Ltd."/>
    <x v="3"/>
    <s v="Director"/>
    <m/>
    <n v="1"/>
  </r>
  <r>
    <n v="111"/>
    <x v="0"/>
    <x v="3"/>
    <s v="053225"/>
    <s v="Rasel Mahmud Rajib"/>
    <x v="13"/>
    <x v="6"/>
    <x v="2"/>
    <s v="General Manager, Merchandising"/>
    <x v="30"/>
    <n v="50000"/>
    <m/>
    <s v="Creative Collection Ltd."/>
    <x v="2"/>
    <s v="Director"/>
    <m/>
    <n v="1"/>
  </r>
  <r>
    <n v="112"/>
    <x v="0"/>
    <x v="3"/>
    <s v="053292"/>
    <s v="Md. Humayun Rashid"/>
    <x v="26"/>
    <x v="6"/>
    <x v="1"/>
    <s v="Senior General Manager, Merchandising"/>
    <x v="31"/>
    <n v="20000"/>
    <m/>
    <s v="Creative Collection Ltd."/>
    <x v="2"/>
    <s v="MD"/>
    <m/>
    <n v="1"/>
  </r>
  <r>
    <n v="113"/>
    <x v="0"/>
    <x v="3"/>
    <s v="053294"/>
    <s v="Asif Mahmud"/>
    <x v="26"/>
    <x v="6"/>
    <x v="1"/>
    <s v="Senior General Manager, Merchandising"/>
    <x v="31"/>
    <n v="20000"/>
    <m/>
    <s v="Refat Garments Ltd."/>
    <x v="2"/>
    <s v="MD"/>
    <m/>
    <n v="1"/>
  </r>
  <r>
    <n v="114"/>
    <x v="0"/>
    <x v="3"/>
    <s v="053296"/>
    <s v="Hridoy Kumer Das"/>
    <x v="26"/>
    <x v="6"/>
    <x v="1"/>
    <s v="Senior General Manager, Merchandising"/>
    <x v="31"/>
    <n v="20000"/>
    <m/>
    <s v="Artistic Design Ltd."/>
    <x v="2"/>
    <s v="MD"/>
    <m/>
    <n v="1"/>
  </r>
  <r>
    <n v="115"/>
    <x v="0"/>
    <x v="3"/>
    <s v="053299"/>
    <s v="Adnan Bin Zahid"/>
    <x v="26"/>
    <x v="6"/>
    <x v="1"/>
    <s v="Deputy General Manager Production &amp; Development"/>
    <x v="31"/>
    <n v="20000"/>
    <m/>
    <s v="Refat Garments Ltd."/>
    <x v="2"/>
    <s v="MD"/>
    <m/>
    <n v="1"/>
  </r>
  <r>
    <n v="116"/>
    <x v="0"/>
    <x v="3"/>
    <s v="053154"/>
    <s v="Mohaiminul Islam Sami"/>
    <x v="5"/>
    <x v="7"/>
    <x v="1"/>
    <s v="Deputy General Manager Production &amp; Development"/>
    <x v="27"/>
    <n v="20000"/>
    <m/>
    <s v="Ha-Meem Spinning Mills Ltd."/>
    <x v="2"/>
    <s v="MD"/>
    <m/>
    <n v="1"/>
  </r>
  <r>
    <n v="117"/>
    <x v="0"/>
    <x v="3"/>
    <s v="053152"/>
    <s v="Md. Yeasin Arafat"/>
    <x v="15"/>
    <x v="3"/>
    <x v="10"/>
    <s v="Deputy General Manager, Admin"/>
    <x v="27"/>
    <n v="10775"/>
    <m/>
    <s v="Fauji Chat Kal Ltd."/>
    <x v="3"/>
    <s v="MD"/>
    <m/>
    <n v="1"/>
  </r>
  <r>
    <n v="118"/>
    <x v="0"/>
    <x v="3"/>
    <s v="053099"/>
    <s v="Rubel Molla"/>
    <x v="15"/>
    <x v="3"/>
    <x v="10"/>
    <s v="Deputy General Manager, Admin"/>
    <x v="32"/>
    <n v="10775"/>
    <m/>
    <s v="Fauji Chat Kal Ltd."/>
    <x v="3"/>
    <s v="MD"/>
    <m/>
    <n v="1"/>
  </r>
  <r>
    <n v="119"/>
    <x v="0"/>
    <x v="4"/>
    <s v="054516"/>
    <s v="Md. Anamul Hoque"/>
    <x v="20"/>
    <x v="3"/>
    <x v="7"/>
    <s v="Officer, Finance &amp; Accounts"/>
    <x v="27"/>
    <n v="10000"/>
    <m/>
    <s v="Refat Garments Ltd."/>
    <x v="3"/>
    <s v="MD"/>
    <m/>
    <n v="1"/>
  </r>
  <r>
    <n v="120"/>
    <x v="0"/>
    <x v="4"/>
    <s v="053392"/>
    <s v="Md. Nazrul Islam Khan"/>
    <x v="17"/>
    <x v="3"/>
    <x v="1"/>
    <s v="Deputy General Manager, Information Technology &amp; Admin"/>
    <x v="33"/>
    <n v="16000"/>
    <m/>
    <s v="Refat Garments Ltd."/>
    <x v="0"/>
    <s v="MD"/>
    <m/>
    <n v="1"/>
  </r>
  <r>
    <n v="121"/>
    <x v="0"/>
    <x v="4"/>
    <s v="053375"/>
    <s v="Mohammad Ashraful Islam"/>
    <x v="5"/>
    <x v="16"/>
    <x v="2"/>
    <s v="Executive Director, Audit"/>
    <x v="33"/>
    <n v="30000"/>
    <m/>
    <s v="Creative Collection Ltd."/>
    <x v="3"/>
    <s v="MD"/>
    <m/>
    <n v="1"/>
  </r>
  <r>
    <n v="122"/>
    <x v="0"/>
    <x v="4"/>
    <s v="053414"/>
    <s v="Md. Sujan Hossen"/>
    <x v="10"/>
    <x v="16"/>
    <x v="1"/>
    <s v="Executive Director, Audit"/>
    <x v="33"/>
    <n v="40000"/>
    <m/>
    <s v="Refat Garments Ltd."/>
    <x v="3"/>
    <s v="MD"/>
    <m/>
    <n v="1"/>
  </r>
  <r>
    <s v="Commercial"/>
    <x v="0"/>
    <x v="4"/>
    <s v="053418"/>
    <s v="Khawza Nishat Anam"/>
    <x v="8"/>
    <x v="4"/>
    <x v="2"/>
    <s v="Assistant General Manager, Commercial"/>
    <x v="33"/>
    <n v="20000"/>
    <m/>
    <s v="Refat Garments Ltd."/>
    <x v="2"/>
    <s v="MD"/>
    <m/>
    <n v="1"/>
  </r>
  <r>
    <n v="124"/>
    <x v="0"/>
    <x v="4"/>
    <s v="053416"/>
    <s v="Mustahsin Masrur Rahman"/>
    <x v="8"/>
    <x v="4"/>
    <x v="0"/>
    <s v="Assistant General Manager, Commercial"/>
    <x v="33"/>
    <n v="20000"/>
    <m/>
    <s v="Artistic Design Ltd."/>
    <x v="2"/>
    <s v="MD"/>
    <m/>
    <n v="1"/>
  </r>
  <r>
    <n v="125"/>
    <x v="0"/>
    <x v="4"/>
    <s v="053420"/>
    <s v="Fiarooz Sadaf Nokshi"/>
    <x v="34"/>
    <x v="13"/>
    <x v="1"/>
    <s v="General Manager, Design Studio"/>
    <x v="33"/>
    <n v="20000"/>
    <m/>
    <s v="Refat Garments Ltd."/>
    <x v="3"/>
    <s v="MD"/>
    <m/>
    <n v="1"/>
  </r>
  <r>
    <n v="126"/>
    <x v="0"/>
    <x v="4"/>
    <s v="053419"/>
    <s v="Parvez Hassan"/>
    <x v="34"/>
    <x v="13"/>
    <x v="1"/>
    <s v="General Manager, Design Studio"/>
    <x v="33"/>
    <n v="20000"/>
    <m/>
    <s v="Refat Garments Ltd."/>
    <x v="3"/>
    <s v="MD"/>
    <m/>
    <n v="1"/>
  </r>
  <r>
    <n v="127"/>
    <x v="0"/>
    <x v="4"/>
    <s v="054420"/>
    <s v="Imran Hossain"/>
    <x v="35"/>
    <x v="13"/>
    <x v="1"/>
    <s v="General Manager, Design Studio"/>
    <x v="34"/>
    <n v="48000"/>
    <m/>
    <s v="Creative Collection Ltd."/>
    <x v="3"/>
    <s v="MD"/>
    <m/>
    <n v="1"/>
  </r>
  <r>
    <n v="128"/>
    <x v="0"/>
    <x v="4"/>
    <s v="053402"/>
    <s v="Premanshu Kumar Das"/>
    <x v="3"/>
    <x v="13"/>
    <x v="0"/>
    <s v="Director"/>
    <x v="33"/>
    <m/>
    <n v="1800"/>
    <s v="That's It Sports Wear Ltd."/>
    <x v="1"/>
    <s v="MD"/>
    <m/>
    <n v="1"/>
  </r>
  <r>
    <n v="129"/>
    <x v="0"/>
    <x v="4"/>
    <s v="053748"/>
    <s v="Md. Mosharrof Hossain"/>
    <x v="0"/>
    <x v="9"/>
    <x v="1"/>
    <s v="Director"/>
    <x v="35"/>
    <n v="220000"/>
    <m/>
    <s v="Refat Garments Ltd."/>
    <x v="3"/>
    <s v="MD"/>
    <m/>
    <n v="1"/>
  </r>
  <r>
    <n v="130"/>
    <x v="0"/>
    <x v="4"/>
    <s v="053754"/>
    <s v="Nasif Al Islam"/>
    <x v="9"/>
    <x v="12"/>
    <x v="1"/>
    <s v="Assistant General Manager, ERP"/>
    <x v="35"/>
    <n v="80000"/>
    <m/>
    <s v="Ha-Meem Textiles Ltd."/>
    <x v="2"/>
    <s v="MD"/>
    <m/>
    <n v="1"/>
  </r>
  <r>
    <n v="131"/>
    <x v="0"/>
    <x v="4"/>
    <s v="053421"/>
    <s v="Nihrin Akter Bushra"/>
    <x v="5"/>
    <x v="8"/>
    <x v="1"/>
    <s v="General Manager, Finance &amp; Accounts"/>
    <x v="33"/>
    <n v="22000"/>
    <m/>
    <s v="Refat Garments Ltd."/>
    <x v="0"/>
    <s v="MD"/>
    <m/>
    <n v="1"/>
  </r>
  <r>
    <n v="132"/>
    <x v="0"/>
    <x v="4"/>
    <s v="053555"/>
    <s v="Md. Riaz Uddin"/>
    <x v="5"/>
    <x v="8"/>
    <x v="1"/>
    <s v="General Manager, Finance &amp; Accounts"/>
    <x v="36"/>
    <n v="30000"/>
    <m/>
    <s v="Refat Garments Ltd."/>
    <x v="3"/>
    <s v="MD"/>
    <m/>
    <n v="1"/>
  </r>
  <r>
    <n v="133"/>
    <x v="0"/>
    <x v="4"/>
    <s v="053407"/>
    <s v="Mehrab Hossain Arnab"/>
    <x v="1"/>
    <x v="2"/>
    <x v="2"/>
    <s v="Director"/>
    <x v="33"/>
    <n v="45000"/>
    <m/>
    <s v="Creative Collection Ltd."/>
    <x v="2"/>
    <s v="MD"/>
    <m/>
    <n v="1"/>
  </r>
  <r>
    <n v="134"/>
    <x v="0"/>
    <x v="4"/>
    <s v="053412"/>
    <s v="Md. Shihabul Islam"/>
    <x v="1"/>
    <x v="2"/>
    <x v="2"/>
    <s v="Director"/>
    <x v="33"/>
    <n v="45000"/>
    <m/>
    <s v="Creative Collection Ltd."/>
    <x v="2"/>
    <s v="MD"/>
    <m/>
    <n v="1"/>
  </r>
  <r>
    <n v="135"/>
    <x v="0"/>
    <x v="4"/>
    <s v="053400"/>
    <s v="Md. Enamul Haque"/>
    <x v="1"/>
    <x v="2"/>
    <x v="2"/>
    <s v="Director"/>
    <x v="33"/>
    <n v="45000"/>
    <m/>
    <s v="Creative Collection Ltd."/>
    <x v="2"/>
    <s v="MD"/>
    <m/>
    <n v="1"/>
  </r>
  <r>
    <n v="136"/>
    <x v="0"/>
    <x v="4"/>
    <s v="053384"/>
    <s v="Jannatul Ferdosh"/>
    <x v="5"/>
    <x v="2"/>
    <x v="2"/>
    <s v="Assistant General Manager, Human Resources"/>
    <x v="33"/>
    <n v="32000"/>
    <m/>
    <s v="Creative Collection Ltd."/>
    <x v="3"/>
    <s v="MD"/>
    <m/>
    <n v="1"/>
  </r>
  <r>
    <n v="137"/>
    <x v="0"/>
    <x v="4"/>
    <s v="053376"/>
    <s v="Shayful Islam"/>
    <x v="5"/>
    <x v="2"/>
    <x v="2"/>
    <s v="Assistant General Manager, Human Resources"/>
    <x v="33"/>
    <n v="30000"/>
    <m/>
    <s v="Creative Collection Ltd."/>
    <x v="3"/>
    <s v="MD"/>
    <m/>
    <n v="1"/>
  </r>
  <r>
    <n v="138"/>
    <x v="0"/>
    <x v="4"/>
    <s v="053399"/>
    <s v="Md. Abul Kalam Azad"/>
    <x v="19"/>
    <x v="2"/>
    <x v="4"/>
    <s v="General Manager, Human Resources"/>
    <x v="33"/>
    <n v="130000"/>
    <m/>
    <s v="Bright Wash Ltd."/>
    <x v="3"/>
    <s v="MD"/>
    <m/>
    <n v="1"/>
  </r>
  <r>
    <n v="139"/>
    <x v="0"/>
    <x v="4"/>
    <s v="053403"/>
    <s v="Billal Hossain"/>
    <x v="5"/>
    <x v="2"/>
    <x v="0"/>
    <s v="Assistant General Manager, Human Resources"/>
    <x v="33"/>
    <n v="22000"/>
    <m/>
    <s v="Refat Garments Ltd."/>
    <x v="3"/>
    <s v="MD"/>
    <m/>
    <n v="1"/>
  </r>
  <r>
    <n v="140"/>
    <x v="0"/>
    <x v="4"/>
    <s v="053404"/>
    <s v="Rashed  Islam"/>
    <x v="8"/>
    <x v="2"/>
    <x v="0"/>
    <s v="Assistant General Manager, Human Resources"/>
    <x v="33"/>
    <n v="18000"/>
    <m/>
    <s v="That's It Sports Wear Ltd."/>
    <x v="3"/>
    <s v="MD"/>
    <m/>
    <n v="1"/>
  </r>
  <r>
    <n v="141"/>
    <x v="0"/>
    <x v="4"/>
    <s v="053395"/>
    <s v="Farjana Akhter"/>
    <x v="5"/>
    <x v="2"/>
    <x v="2"/>
    <s v="General Manager, Human Resources"/>
    <x v="33"/>
    <n v="27000"/>
    <m/>
    <s v="Creative Collection Ltd."/>
    <x v="3"/>
    <s v="MD"/>
    <m/>
    <n v="1"/>
  </r>
  <r>
    <n v="142"/>
    <x v="0"/>
    <x v="4"/>
    <s v="053401"/>
    <s v="Md. Tamzit Ahmed"/>
    <x v="5"/>
    <x v="2"/>
    <x v="8"/>
    <s v="Manager, Human Resources"/>
    <x v="33"/>
    <n v="30000"/>
    <m/>
    <s v="That's It Sports Wear Ltd."/>
    <x v="3"/>
    <s v="MD"/>
    <m/>
    <n v="1"/>
  </r>
  <r>
    <n v="143"/>
    <x v="0"/>
    <x v="4"/>
    <s v="054433"/>
    <s v="Rakibul Hasan"/>
    <x v="5"/>
    <x v="2"/>
    <x v="4"/>
    <s v="Assistant General Manager, Human Resources"/>
    <x v="34"/>
    <n v="24000"/>
    <m/>
    <s v="Ha-Meem Design Ltd."/>
    <x v="3"/>
    <s v="MD"/>
    <m/>
    <n v="1"/>
  </r>
  <r>
    <n v="144"/>
    <x v="0"/>
    <x v="4"/>
    <s v="054415"/>
    <s v="Nazmul Hassan"/>
    <x v="5"/>
    <x v="2"/>
    <x v="2"/>
    <s v="General Manager, Human Resources"/>
    <x v="34"/>
    <n v="27000"/>
    <m/>
    <s v="Creative Collection Ltd."/>
    <x v="0"/>
    <s v="MD"/>
    <m/>
    <n v="1"/>
  </r>
  <r>
    <n v="145"/>
    <x v="0"/>
    <x v="4"/>
    <s v="054501"/>
    <s v="Ali Shahryar"/>
    <x v="12"/>
    <x v="6"/>
    <x v="2"/>
    <s v="Assistant General Manager, Merchandising"/>
    <x v="34"/>
    <n v="55000"/>
    <m/>
    <s v="Creative Collection Ltd."/>
    <x v="0"/>
    <s v="Director"/>
    <m/>
    <n v="1"/>
  </r>
  <r>
    <n v="146"/>
    <x v="0"/>
    <x v="4"/>
    <s v="054508"/>
    <s v="Mosharof Hossain Dider"/>
    <x v="13"/>
    <x v="6"/>
    <x v="2"/>
    <s v="Deputy General Manager, Merchandising"/>
    <x v="34"/>
    <n v="37000"/>
    <m/>
    <s v="Creative Collection Ltd."/>
    <x v="0"/>
    <s v="Director"/>
    <m/>
    <n v="1"/>
  </r>
  <r>
    <n v="147"/>
    <x v="0"/>
    <x v="4"/>
    <s v="054504"/>
    <s v="Shahidul Islam"/>
    <x v="12"/>
    <x v="6"/>
    <x v="2"/>
    <s v="Deputy General Manager, Merchandising"/>
    <x v="34"/>
    <n v="58000"/>
    <m/>
    <s v="Creative Collection Ltd."/>
    <x v="3"/>
    <s v="Director"/>
    <m/>
    <n v="1"/>
  </r>
  <r>
    <n v="148"/>
    <x v="0"/>
    <x v="4"/>
    <s v="054159"/>
    <s v="Dewan Sadat Rahman"/>
    <x v="26"/>
    <x v="6"/>
    <x v="2"/>
    <s v="Deputy General Manager, Merchandising"/>
    <x v="37"/>
    <n v="20000"/>
    <m/>
    <s v="Creative Collection Ltd."/>
    <x v="0"/>
    <s v="Director"/>
    <m/>
    <n v="1"/>
  </r>
  <r>
    <n v="149"/>
    <x v="0"/>
    <x v="4"/>
    <s v="054160"/>
    <s v="Nuzhat Tabassum Simin"/>
    <x v="26"/>
    <x v="6"/>
    <x v="2"/>
    <s v="Deputy General Manager, Merchandising"/>
    <x v="37"/>
    <n v="20000"/>
    <m/>
    <s v="Creative Collection Ltd."/>
    <x v="0"/>
    <s v="Director"/>
    <m/>
    <n v="1"/>
  </r>
  <r>
    <n v="150"/>
    <x v="0"/>
    <x v="4"/>
    <s v="053895"/>
    <s v="Md. Maksudur Rahman"/>
    <x v="12"/>
    <x v="6"/>
    <x v="2"/>
    <s v="Deputy General Manager, Merchandising"/>
    <x v="33"/>
    <n v="60000"/>
    <m/>
    <s v="Creative Collection Ltd."/>
    <x v="3"/>
    <s v="Director"/>
    <m/>
    <n v="1"/>
  </r>
  <r>
    <n v="151"/>
    <x v="0"/>
    <x v="4"/>
    <s v="053898"/>
    <s v="Sakib Hossain"/>
    <x v="26"/>
    <x v="6"/>
    <x v="2"/>
    <s v="General Manager, Merchandising"/>
    <x v="33"/>
    <n v="20000"/>
    <m/>
    <s v="Creative Collection Ltd."/>
    <x v="0"/>
    <s v="Director"/>
    <m/>
    <n v="1"/>
  </r>
  <r>
    <n v="152"/>
    <x v="0"/>
    <x v="4"/>
    <s v="053903"/>
    <s v="Sadia Farzana"/>
    <x v="26"/>
    <x v="6"/>
    <x v="2"/>
    <s v="General Manager, Merchandising"/>
    <x v="33"/>
    <n v="20000"/>
    <m/>
    <s v="Creative Collection Ltd."/>
    <x v="0"/>
    <s v="Director"/>
    <m/>
    <n v="1"/>
  </r>
  <r>
    <n v="153"/>
    <x v="0"/>
    <x v="4"/>
    <s v="054418"/>
    <s v="Inamul Haque Sowrav"/>
    <x v="5"/>
    <x v="10"/>
    <x v="3"/>
    <s v="Deputy General Manager, Procurement &amp; Development"/>
    <x v="34"/>
    <n v="25000"/>
    <m/>
    <s v="Artistic Design Ltd."/>
    <x v="3"/>
    <s v="MD"/>
    <m/>
    <n v="1"/>
  </r>
  <r>
    <n v="154"/>
    <x v="0"/>
    <x v="4"/>
    <s v="054421"/>
    <s v="Mahamudul Karim"/>
    <x v="5"/>
    <x v="10"/>
    <x v="1"/>
    <s v="Deputy General Manager, Procurement &amp; Development"/>
    <x v="34"/>
    <n v="25000"/>
    <m/>
    <s v="Refat Garments Ltd."/>
    <x v="3"/>
    <s v="MD"/>
    <m/>
    <n v="1"/>
  </r>
  <r>
    <n v="155"/>
    <x v="0"/>
    <x v="4"/>
    <s v="054422"/>
    <s v="Md. Rabiul Sany Khan"/>
    <x v="5"/>
    <x v="10"/>
    <x v="1"/>
    <s v="Deputy General Manager, Procurement &amp; Development"/>
    <x v="34"/>
    <n v="25000"/>
    <m/>
    <s v="Refat Garments Ltd."/>
    <x v="3"/>
    <s v="MD"/>
    <m/>
    <n v="1"/>
  </r>
  <r>
    <n v="156"/>
    <x v="0"/>
    <x v="4"/>
    <s v="053445"/>
    <s v="Ivan Ravi Sinniah"/>
    <x v="0"/>
    <x v="0"/>
    <x v="0"/>
    <s v="Director"/>
    <x v="33"/>
    <m/>
    <n v="4000"/>
    <s v="That's It Sports Wear Ltd."/>
    <x v="1"/>
    <s v="MD"/>
    <m/>
    <n v="1"/>
  </r>
  <r>
    <n v="157"/>
    <x v="0"/>
    <x v="4"/>
    <s v="053593"/>
    <s v="Gnanaseeha Ravi Halgahawatta Liyanaarachchi"/>
    <x v="36"/>
    <x v="0"/>
    <x v="0"/>
    <s v="Group DMD"/>
    <x v="36"/>
    <m/>
    <n v="3500"/>
    <s v="Refat Garments Ltd."/>
    <x v="1"/>
    <s v="MD"/>
    <m/>
    <n v="1"/>
  </r>
  <r>
    <n v="158"/>
    <x v="0"/>
    <x v="4"/>
    <s v="053461"/>
    <s v="Dipankar Das"/>
    <x v="0"/>
    <x v="1"/>
    <x v="0"/>
    <s v="Executive Director,  Ashulia"/>
    <x v="38"/>
    <n v="180000"/>
    <m/>
    <s v="Artistic Design Ltd."/>
    <x v="3"/>
    <s v="MD"/>
    <m/>
    <n v="1"/>
  </r>
  <r>
    <n v="159"/>
    <x v="0"/>
    <x v="4"/>
    <s v="054355"/>
    <s v="Md. Ariful Islam"/>
    <x v="9"/>
    <x v="12"/>
    <x v="1"/>
    <s v="Assistant General Manager, ERP"/>
    <x v="39"/>
    <n v="70000"/>
    <m/>
    <s v="Ha-Meem Spinning Mills Ltd."/>
    <x v="2"/>
    <s v="MD"/>
    <m/>
    <n v="1"/>
  </r>
  <r>
    <n v="160"/>
    <x v="0"/>
    <x v="4"/>
    <s v="054429"/>
    <s v="Muhammad Gaus Mia"/>
    <x v="15"/>
    <x v="3"/>
    <x v="6"/>
    <s v="Deputy General Manager, Admin"/>
    <x v="34"/>
    <n v="10775"/>
    <m/>
    <s v="Sylhet Planters Ltd."/>
    <x v="3"/>
    <s v="MD"/>
    <m/>
    <n v="1"/>
  </r>
  <r>
    <n v="161"/>
    <x v="0"/>
    <x v="4"/>
    <s v="May, 2023"/>
    <s v="Abisheak Shill"/>
    <x v="5"/>
    <x v="17"/>
    <x v="1"/>
    <s v="MD"/>
    <x v="33"/>
    <n v="20000"/>
    <m/>
    <s v="Refat Garments Ltd."/>
    <x v="2"/>
    <s v="MD"/>
    <m/>
    <n v="1"/>
  </r>
  <r>
    <n v="162"/>
    <x v="0"/>
    <x v="4"/>
    <s v="May, 2023"/>
    <s v="Amit Ghosh"/>
    <x v="5"/>
    <x v="17"/>
    <x v="1"/>
    <s v="MD"/>
    <x v="33"/>
    <n v="20000"/>
    <m/>
    <s v="Refat Garments Ltd."/>
    <x v="2"/>
    <s v="MD"/>
    <m/>
    <n v="1"/>
  </r>
  <r>
    <n v="163"/>
    <x v="0"/>
    <x v="4"/>
    <s v="May, 2023"/>
    <s v="Md. Farukuzzaman Leeon"/>
    <x v="5"/>
    <x v="17"/>
    <x v="1"/>
    <s v="MD"/>
    <x v="19"/>
    <n v="25000"/>
    <m/>
    <s v="Refat Garments Ltd."/>
    <x v="2"/>
    <s v="MD"/>
    <m/>
    <n v="1"/>
  </r>
  <r>
    <n v="164"/>
    <x v="0"/>
    <x v="5"/>
    <s v="054799"/>
    <s v="Md. Akkas Ali Munsi"/>
    <x v="17"/>
    <x v="3"/>
    <x v="1"/>
    <s v="Deputy General Manager, Admin"/>
    <x v="40"/>
    <n v="24000"/>
    <m/>
    <s v="Refat Garments Ltd."/>
    <x v="3"/>
    <s v="MD"/>
    <m/>
    <n v="1"/>
  </r>
  <r>
    <n v="165"/>
    <x v="0"/>
    <x v="5"/>
    <s v="054797"/>
    <s v="Md. Zahid Hossain"/>
    <x v="17"/>
    <x v="3"/>
    <x v="1"/>
    <s v="Deputy General Manager, Admin"/>
    <x v="41"/>
    <n v="15000"/>
    <m/>
    <s v="Refat Garments Ltd."/>
    <x v="3"/>
    <s v="MD"/>
    <m/>
    <n v="1"/>
  </r>
  <r>
    <n v="166"/>
    <x v="0"/>
    <x v="5"/>
    <s v="054802"/>
    <s v="Sahrin Saima Samanta"/>
    <x v="5"/>
    <x v="16"/>
    <x v="0"/>
    <s v="Executive Director, Audit"/>
    <x v="41"/>
    <n v="25000"/>
    <m/>
    <s v="Refat Garments Ltd."/>
    <x v="3"/>
    <s v="MD"/>
    <m/>
    <n v="1"/>
  </r>
  <r>
    <n v="167"/>
    <x v="0"/>
    <x v="5"/>
    <s v="054810"/>
    <s v="Md. Eiasin Mia"/>
    <x v="5"/>
    <x v="16"/>
    <x v="2"/>
    <s v="Executive Director, Audit"/>
    <x v="41"/>
    <n v="27000"/>
    <m/>
    <s v="Creative Collection Ltd."/>
    <x v="3"/>
    <s v="MD"/>
    <m/>
    <n v="1"/>
  </r>
  <r>
    <n v="168"/>
    <x v="0"/>
    <x v="5"/>
    <s v="055407"/>
    <s v="Mohammad Amran Ali"/>
    <x v="10"/>
    <x v="4"/>
    <x v="1"/>
    <s v="Deputy General Manager, Commercial"/>
    <x v="42"/>
    <n v="35000"/>
    <m/>
    <s v="Ha-Meem Textiles Ltd."/>
    <x v="3"/>
    <s v="MD"/>
    <m/>
    <n v="1"/>
  </r>
  <r>
    <n v="169"/>
    <x v="0"/>
    <x v="5"/>
    <s v="055220"/>
    <s v="Md. Samsul Haque Pinku"/>
    <x v="5"/>
    <x v="4"/>
    <x v="1"/>
    <s v="Senior General Manager, Commercial"/>
    <x v="40"/>
    <n v="25000"/>
    <m/>
    <s v="Refat Garments Ltd."/>
    <x v="2"/>
    <s v="MD"/>
    <m/>
    <n v="1"/>
  </r>
  <r>
    <n v="170"/>
    <x v="0"/>
    <x v="5"/>
    <s v="054800"/>
    <s v="Meheli Hassan"/>
    <x v="5"/>
    <x v="2"/>
    <x v="1"/>
    <s v="General Manager, Human Resources"/>
    <x v="41"/>
    <n v="20000"/>
    <m/>
    <s v="Refat Garments Ltd."/>
    <x v="0"/>
    <s v="MD"/>
    <m/>
    <n v="1"/>
  </r>
  <r>
    <n v="171"/>
    <x v="0"/>
    <x v="5"/>
    <s v="055408"/>
    <s v="Md. Mohon"/>
    <x v="8"/>
    <x v="2"/>
    <x v="0"/>
    <s v="Assistant General Manager, Human Resources"/>
    <x v="42"/>
    <n v="18000"/>
    <m/>
    <s v="Apparel Gallery Ltd."/>
    <x v="3"/>
    <s v="MD"/>
    <m/>
    <n v="1"/>
  </r>
  <r>
    <n v="172"/>
    <x v="0"/>
    <x v="5"/>
    <s v="055380"/>
    <s v="Kowsar Uddin Chowdhury"/>
    <x v="0"/>
    <x v="2"/>
    <x v="2"/>
    <s v="Director"/>
    <x v="43"/>
    <n v="300000"/>
    <m/>
    <s v="Creative Collection Ltd."/>
    <x v="3"/>
    <s v="MD"/>
    <m/>
    <n v="1"/>
  </r>
  <r>
    <n v="173"/>
    <x v="0"/>
    <x v="5"/>
    <s v="055264"/>
    <s v="Babu Jayaram"/>
    <x v="0"/>
    <x v="6"/>
    <x v="2"/>
    <s v="Director"/>
    <x v="44"/>
    <m/>
    <n v="3500"/>
    <s v="Creative Collection Ltd."/>
    <x v="1"/>
    <s v="MD"/>
    <m/>
    <n v="1"/>
  </r>
  <r>
    <n v="174"/>
    <x v="0"/>
    <x v="5"/>
    <s v="055093"/>
    <s v="Rezaul Hoque Riaz"/>
    <x v="26"/>
    <x v="6"/>
    <x v="2"/>
    <s v="Deputy General Manager, Merchandising"/>
    <x v="41"/>
    <n v="20000"/>
    <m/>
    <s v="Creative Collection Ltd."/>
    <x v="0"/>
    <s v="Director"/>
    <m/>
    <n v="1"/>
  </r>
  <r>
    <n v="175"/>
    <x v="0"/>
    <x v="5"/>
    <s v="055095"/>
    <s v="Tanjir Siddiky Mokib"/>
    <x v="26"/>
    <x v="6"/>
    <x v="2"/>
    <s v="General Manager, Merchandising"/>
    <x v="41"/>
    <n v="20000"/>
    <m/>
    <s v="Creative Collection Ltd."/>
    <x v="3"/>
    <s v="Director"/>
    <m/>
    <n v="1"/>
  </r>
  <r>
    <n v="176"/>
    <x v="0"/>
    <x v="5"/>
    <s v="055085"/>
    <s v="Mainul Islam"/>
    <x v="26"/>
    <x v="6"/>
    <x v="2"/>
    <s v="General Manager, Merchandising"/>
    <x v="41"/>
    <n v="20000"/>
    <m/>
    <s v="Creative Collection Ltd."/>
    <x v="3"/>
    <s v="Director"/>
    <m/>
    <n v="1"/>
  </r>
  <r>
    <n v="177"/>
    <x v="0"/>
    <x v="5"/>
    <s v="055082"/>
    <s v="Md. Tasin Tahmid"/>
    <x v="26"/>
    <x v="6"/>
    <x v="2"/>
    <s v="Deputy General Manager, Merchandising"/>
    <x v="41"/>
    <n v="20000"/>
    <m/>
    <s v="Creative Collection Ltd."/>
    <x v="2"/>
    <s v="Director"/>
    <m/>
    <n v="1"/>
  </r>
  <r>
    <n v="178"/>
    <x v="0"/>
    <x v="5"/>
    <s v="055421"/>
    <s v="Md. Jamiul Mannan"/>
    <x v="13"/>
    <x v="6"/>
    <x v="2"/>
    <s v="Assistant General Manager, Merchandising"/>
    <x v="42"/>
    <n v="40000"/>
    <m/>
    <s v="Creative Collection Ltd."/>
    <x v="0"/>
    <s v="Director"/>
    <m/>
    <n v="1"/>
  </r>
  <r>
    <n v="179"/>
    <x v="0"/>
    <x v="5"/>
    <s v="055423"/>
    <s v="Md Ibrahim Khalil"/>
    <x v="13"/>
    <x v="6"/>
    <x v="2"/>
    <s v="Deputy General Manager, Merchandising"/>
    <x v="42"/>
    <n v="36000"/>
    <m/>
    <s v="Creative Collection Ltd."/>
    <x v="0"/>
    <s v="Director"/>
    <m/>
    <n v="1"/>
  </r>
  <r>
    <n v="180"/>
    <x v="0"/>
    <x v="5"/>
    <s v="054808"/>
    <s v="Rani Sultana"/>
    <x v="8"/>
    <x v="18"/>
    <x v="1"/>
    <s v="Head of Power &amp; Energy"/>
    <x v="41"/>
    <n v="20000"/>
    <m/>
    <s v="Refat Garments Ltd."/>
    <x v="3"/>
    <s v="MD"/>
    <m/>
    <n v="1"/>
  </r>
  <r>
    <n v="181"/>
    <x v="0"/>
    <x v="5"/>
    <s v="055405"/>
    <s v="Md. Billal Hossen"/>
    <x v="8"/>
    <x v="18"/>
    <x v="2"/>
    <s v="Deputy General Manager (Electrical), Power &amp; Energy"/>
    <x v="42"/>
    <n v="25000"/>
    <m/>
    <s v="Creative Collection Ltd."/>
    <x v="0"/>
    <s v="MD"/>
    <m/>
    <n v="1"/>
  </r>
  <r>
    <n v="182"/>
    <x v="0"/>
    <x v="5"/>
    <s v="055406"/>
    <s v="Md. Maminul Islam"/>
    <x v="8"/>
    <x v="18"/>
    <x v="2"/>
    <s v="Deputy General Manager (Electrical), Power &amp; Energy"/>
    <x v="42"/>
    <n v="22000"/>
    <m/>
    <s v="Creative Collection Ltd."/>
    <x v="0"/>
    <s v="MD"/>
    <m/>
    <n v="1"/>
  </r>
  <r>
    <n v="183"/>
    <x v="0"/>
    <x v="5"/>
    <s v="055404"/>
    <s v="Md. Ruhul Amin"/>
    <x v="28"/>
    <x v="3"/>
    <x v="1"/>
    <s v="Deputy General Manager, Information Technology &amp; Admin"/>
    <x v="42"/>
    <n v="30000"/>
    <m/>
    <s v="Refat Garments Ltd."/>
    <x v="2"/>
    <s v="MD"/>
    <m/>
    <n v="1"/>
  </r>
  <r>
    <n v="184"/>
    <x v="0"/>
    <x v="6"/>
    <s v="055625"/>
    <s v="Md. Forkan Hossain"/>
    <x v="17"/>
    <x v="3"/>
    <x v="1"/>
    <s v="Executive Director, PSM"/>
    <x v="45"/>
    <n v="25000"/>
    <m/>
    <s v="Refat Garments Ltd."/>
    <x v="3"/>
    <s v="MD"/>
    <m/>
    <n v="1"/>
  </r>
  <r>
    <n v="185"/>
    <x v="0"/>
    <x v="6"/>
    <s v="055269"/>
    <s v="Sumon"/>
    <x v="17"/>
    <x v="3"/>
    <x v="1"/>
    <s v="Officer, Admin"/>
    <x v="45"/>
    <n v="15000"/>
    <m/>
    <s v="Refat Garments Ltd."/>
    <x v="0"/>
    <s v="MD"/>
    <m/>
    <n v="1"/>
  </r>
  <r>
    <n v="186"/>
    <x v="0"/>
    <x v="6"/>
    <s v="055626"/>
    <s v="Arfatur Rahman"/>
    <x v="5"/>
    <x v="16"/>
    <x v="2"/>
    <s v="Executive Director, Audit"/>
    <x v="45"/>
    <n v="25000"/>
    <m/>
    <s v="Creative Collection Ltd."/>
    <x v="3"/>
    <s v="MD"/>
    <m/>
    <n v="1"/>
  </r>
  <r>
    <n v="187"/>
    <x v="0"/>
    <x v="6"/>
    <s v="055632"/>
    <s v="Kazi Anika"/>
    <x v="5"/>
    <x v="4"/>
    <x v="1"/>
    <s v="Deputy General Manager, Commercial"/>
    <x v="45"/>
    <n v="30000"/>
    <m/>
    <s v="Ha-Meem Textiles Ltd."/>
    <x v="3"/>
    <s v="MD"/>
    <m/>
    <n v="1"/>
  </r>
  <r>
    <n v="188"/>
    <x v="0"/>
    <x v="6"/>
    <s v="055474"/>
    <s v="Hazem Osama Mohamed Zaky"/>
    <x v="35"/>
    <x v="14"/>
    <x v="2"/>
    <s v="Group DMD"/>
    <x v="46"/>
    <m/>
    <n v="2000"/>
    <s v="Creative Wash Ltd."/>
    <x v="1"/>
    <s v="MD"/>
    <m/>
    <n v="1"/>
  </r>
  <r>
    <n v="189"/>
    <x v="0"/>
    <x v="6"/>
    <s v="055910"/>
    <s v="Md. Waliullah"/>
    <x v="19"/>
    <x v="12"/>
    <x v="1"/>
    <s v="Assistant General Manager, ERP"/>
    <x v="47"/>
    <n v="135000"/>
    <m/>
    <s v="Ha-Meem Denim Ltd."/>
    <x v="2"/>
    <s v="MD"/>
    <m/>
    <n v="1"/>
  </r>
  <r>
    <n v="190"/>
    <x v="0"/>
    <x v="6"/>
    <s v="055633"/>
    <s v="Md. Rayhan Habib"/>
    <x v="5"/>
    <x v="8"/>
    <x v="1"/>
    <s v="General Manager, Finance &amp; Accounts"/>
    <x v="45"/>
    <n v="30000"/>
    <m/>
    <s v="Refat Garments Ltd."/>
    <x v="3"/>
    <s v="MD"/>
    <m/>
    <n v="1"/>
  </r>
  <r>
    <n v="191"/>
    <x v="0"/>
    <x v="6"/>
    <s v="055631"/>
    <s v="Samir Kanti Biswas"/>
    <x v="11"/>
    <x v="2"/>
    <x v="8"/>
    <s v="General Manager, Human Resources"/>
    <x v="45"/>
    <n v="75000"/>
    <m/>
    <s v="That's It Sports Wear Ltd."/>
    <x v="3"/>
    <s v="MD"/>
    <m/>
    <n v="1"/>
  </r>
  <r>
    <n v="192"/>
    <x v="0"/>
    <x v="6"/>
    <s v="055770"/>
    <s v="Rubaet Bin Aziz"/>
    <x v="0"/>
    <x v="2"/>
    <x v="1"/>
    <s v="Sr. Executive Director, HO"/>
    <x v="48"/>
    <n v="200000"/>
    <m/>
    <s v="Apperal Gallery Ltd."/>
    <x v="3"/>
    <s v="MD"/>
    <m/>
    <n v="1"/>
  </r>
  <r>
    <n v="193"/>
    <x v="0"/>
    <x v="6"/>
    <s v="057323"/>
    <s v="Imran Ahmed "/>
    <x v="0"/>
    <x v="2"/>
    <x v="1"/>
    <s v="Sr. Executive Director, HO"/>
    <x v="49"/>
    <n v="200000"/>
    <m/>
    <s v="Refat Garments Ltd."/>
    <x v="3"/>
    <s v="MD"/>
    <m/>
    <n v="1"/>
  </r>
  <r>
    <n v="194"/>
    <x v="0"/>
    <x v="6"/>
    <s v="055935"/>
    <s v="Richard Ravichander"/>
    <x v="37"/>
    <x v="19"/>
    <x v="0"/>
    <s v="Director"/>
    <x v="50"/>
    <m/>
    <n v="4500"/>
    <s v="Apperal Gallery Ltd."/>
    <x v="1"/>
    <s v="MD"/>
    <m/>
    <n v="1"/>
  </r>
  <r>
    <n v="195"/>
    <x v="0"/>
    <x v="6"/>
    <s v="055931"/>
    <s v="Mustafa Shamim Reza"/>
    <x v="37"/>
    <x v="19"/>
    <x v="2"/>
    <s v="Director"/>
    <x v="51"/>
    <n v="300000"/>
    <m/>
    <s v="Casual Garments Ltd."/>
    <x v="2"/>
    <s v="MD"/>
    <m/>
    <n v="1"/>
  </r>
  <r>
    <n v="196"/>
    <x v="0"/>
    <x v="6"/>
    <s v="055622"/>
    <s v="Md. Adilur Rahman"/>
    <x v="26"/>
    <x v="6"/>
    <x v="2"/>
    <s v="General Manager, Merchandising"/>
    <x v="46"/>
    <n v="20000"/>
    <m/>
    <s v="Creative Collection Ltd."/>
    <x v="3"/>
    <s v="MD"/>
    <m/>
    <n v="1"/>
  </r>
  <r>
    <n v="197"/>
    <x v="0"/>
    <x v="6"/>
    <s v="055621"/>
    <s v="Mahmud Hasan"/>
    <x v="12"/>
    <x v="6"/>
    <x v="2"/>
    <s v="Deputy General Manager, Merchandising"/>
    <x v="46"/>
    <n v="55000"/>
    <m/>
    <s v="Creative Collection Ltd."/>
    <x v="3"/>
    <s v="MD"/>
    <m/>
    <n v="1"/>
  </r>
  <r>
    <n v="198"/>
    <x v="0"/>
    <x v="6"/>
    <s v="055622"/>
    <s v="Saed Ul Islam Sazil"/>
    <x v="26"/>
    <x v="6"/>
    <x v="2"/>
    <s v="General Manager, Merchandising"/>
    <x v="46"/>
    <n v="20000"/>
    <m/>
    <s v="Creative Collection Ltd."/>
    <x v="3"/>
    <s v="MD"/>
    <m/>
    <n v="1"/>
  </r>
  <r>
    <n v="199"/>
    <x v="0"/>
    <x v="6"/>
    <s v="A60402"/>
    <s v="Md. Asrafuzzaman Selim"/>
    <x v="26"/>
    <x v="6"/>
    <x v="1"/>
    <s v="Senior General Manager, Merchandising"/>
    <x v="52"/>
    <n v="20000"/>
    <m/>
    <s v="Creative Collection Ltd."/>
    <x v="3"/>
    <s v="MD"/>
    <m/>
    <n v="1"/>
  </r>
  <r>
    <n v="200"/>
    <x v="0"/>
    <x v="6"/>
    <s v="055628"/>
    <s v="Soumik Sarker"/>
    <x v="5"/>
    <x v="18"/>
    <x v="1"/>
    <s v="Head of Power &amp; Energy"/>
    <x v="45"/>
    <n v="25000"/>
    <m/>
    <s v="Refat Garments Ltd."/>
    <x v="0"/>
    <s v="MD"/>
    <m/>
    <n v="1"/>
  </r>
  <r>
    <n v="201"/>
    <x v="0"/>
    <x v="6"/>
    <s v="055627"/>
    <s v="Foysal Ahmed  Shourav"/>
    <x v="5"/>
    <x v="18"/>
    <x v="1"/>
    <s v="Head of Power &amp; Energy"/>
    <x v="45"/>
    <n v="35000"/>
    <m/>
    <s v="Refat Garments Ltd."/>
    <x v="0"/>
    <s v="MD"/>
    <m/>
    <n v="1"/>
  </r>
  <r>
    <n v="202"/>
    <x v="0"/>
    <x v="6"/>
    <s v="057240"/>
    <s v="Md. Fazle Rabby"/>
    <x v="5"/>
    <x v="10"/>
    <x v="1"/>
    <s v="Deputy General Manager, Procurement &amp; Development"/>
    <x v="52"/>
    <n v="25000"/>
    <m/>
    <s v="Refat Garments Ltd."/>
    <x v="3"/>
    <s v="MD"/>
    <m/>
    <n v="1"/>
  </r>
  <r>
    <n v="203"/>
    <x v="0"/>
    <x v="6"/>
    <s v="055928"/>
    <s v="Shomir Mohanty Sunny"/>
    <x v="0"/>
    <x v="1"/>
    <x v="0"/>
    <s v="Senior Executive Director"/>
    <x v="47"/>
    <n v="382628"/>
    <m/>
    <s v="That's It Sports Wear Ltd."/>
    <x v="3"/>
    <s v="MD"/>
    <m/>
    <n v="1"/>
  </r>
  <r>
    <n v="204"/>
    <x v="0"/>
    <x v="6"/>
    <s v="055475"/>
    <s v="Sujit Ram Kavathekar"/>
    <x v="0"/>
    <x v="1"/>
    <x v="0"/>
    <s v="Director"/>
    <x v="46"/>
    <m/>
    <n v="5000"/>
    <s v="Artistic Design Ltd."/>
    <x v="1"/>
    <s v="MD"/>
    <m/>
    <n v="1"/>
  </r>
  <r>
    <n v="205"/>
    <x v="0"/>
    <x v="7"/>
    <s v="59260"/>
    <s v="Md. Limon Muzumdar"/>
    <x v="38"/>
    <x v="4"/>
    <x v="1"/>
    <s v="Deputy General Manager, Commercial"/>
    <x v="53"/>
    <n v="11000"/>
    <m/>
    <s v="Ha-Meem Denim Ltd."/>
    <x v="3"/>
    <s v="MD/ Director"/>
    <m/>
    <n v="1"/>
  </r>
  <r>
    <n v="206"/>
    <x v="0"/>
    <x v="7"/>
    <s v="059264"/>
    <s v="Md. Abdul Bari"/>
    <x v="39"/>
    <x v="9"/>
    <x v="1"/>
    <s v="Executive Director, Engineering"/>
    <x v="53"/>
    <n v="38000"/>
    <m/>
    <s v="Creative Collection Ltd."/>
    <x v="0"/>
    <s v="MD/ Director"/>
    <m/>
    <n v="1"/>
  </r>
  <r>
    <n v="207"/>
    <x v="0"/>
    <x v="7"/>
    <s v="059265"/>
    <s v="Asiq Alam Bijoy"/>
    <x v="10"/>
    <x v="12"/>
    <x v="1"/>
    <s v="Assistant General Manager, ERP"/>
    <x v="53"/>
    <n v="45000"/>
    <m/>
    <s v="Refat Garments Ltd."/>
    <x v="2"/>
    <s v="MD/ Director"/>
    <m/>
    <n v="1"/>
  </r>
  <r>
    <n v="208"/>
    <x v="0"/>
    <x v="7"/>
    <s v="057473"/>
    <s v="Md. Alomgir Kabir"/>
    <x v="10"/>
    <x v="2"/>
    <x v="2"/>
    <s v="General Manager, Human Resources"/>
    <x v="54"/>
    <n v="34000"/>
    <m/>
    <s v="Casual Garments Ltd."/>
    <x v="3"/>
    <s v="MD/ Director"/>
    <m/>
    <n v="1"/>
  </r>
  <r>
    <n v="209"/>
    <x v="0"/>
    <x v="7"/>
    <s v="059257"/>
    <s v="Nahiduz Zaman"/>
    <x v="5"/>
    <x v="2"/>
    <x v="2"/>
    <s v="General Manager, Human Resources"/>
    <x v="53"/>
    <n v="28000"/>
    <m/>
    <s v="Creative Collection Ltd."/>
    <x v="0"/>
    <s v="MD/ Director"/>
    <m/>
    <n v="1"/>
  </r>
  <r>
    <n v="210"/>
    <x v="0"/>
    <x v="7"/>
    <s v="059255"/>
    <s v="Md. Habibur Rohman Rasel"/>
    <x v="5"/>
    <x v="2"/>
    <x v="3"/>
    <s v="Deputy General Manager, Human Resources"/>
    <x v="53"/>
    <n v="25000"/>
    <m/>
    <s v="Ha-Meem Denim Ltd."/>
    <x v="3"/>
    <s v="MD/ Director"/>
    <m/>
    <n v="1"/>
  </r>
  <r>
    <n v="211"/>
    <x v="0"/>
    <x v="7"/>
    <s v="059279"/>
    <s v="Tapan Chandra Dhali"/>
    <x v="8"/>
    <x v="2"/>
    <x v="0"/>
    <s v="Assistant General Manager, Human Resources"/>
    <x v="53"/>
    <n v="18000"/>
    <m/>
    <s v="Apparel Gallery Ltd."/>
    <x v="3"/>
    <s v="MD/ Director"/>
    <m/>
    <n v="1"/>
  </r>
  <r>
    <n v="212"/>
    <x v="0"/>
    <x v="7"/>
    <s v="059262"/>
    <s v="Moin Uddin Siddique"/>
    <x v="0"/>
    <x v="16"/>
    <x v="1"/>
    <s v="Executive Director, Information Technology"/>
    <x v="53"/>
    <n v="300000"/>
    <m/>
    <s v="That's It Sports Wear Ltd."/>
    <x v="2"/>
    <s v="MD/ Director"/>
    <m/>
    <n v="1"/>
  </r>
  <r>
    <n v="213"/>
    <x v="0"/>
    <x v="7"/>
    <s v="057517"/>
    <s v="Md. Baki Billah"/>
    <x v="40"/>
    <x v="15"/>
    <x v="1"/>
    <s v="Assistant General Manager, Information Technology"/>
    <x v="54"/>
    <n v="25000"/>
    <m/>
    <s v="Refat Garments Ltd."/>
    <x v="3"/>
    <s v="MD/ Director"/>
    <m/>
    <n v="1"/>
  </r>
  <r>
    <n v="214"/>
    <x v="0"/>
    <x v="7"/>
    <s v="057489"/>
    <s v="Md. Shohel Rana"/>
    <x v="41"/>
    <x v="15"/>
    <x v="1"/>
    <s v="Director"/>
    <x v="54"/>
    <n v="325000"/>
    <m/>
    <s v="Refat Garments Ltd."/>
    <x v="2"/>
    <s v="MD/ Director"/>
    <m/>
    <n v="1"/>
  </r>
  <r>
    <n v="215"/>
    <x v="0"/>
    <x v="7"/>
    <s v="057462"/>
    <s v="Kasun Thilanka Somasiri Andra Hennadige"/>
    <x v="0"/>
    <x v="6"/>
    <x v="0"/>
    <s v="Director"/>
    <x v="55"/>
    <m/>
    <n v="3500"/>
    <s v="That's It Sports Wear Ltd."/>
    <x v="1"/>
    <s v="MD/ Director"/>
    <m/>
    <n v="1"/>
  </r>
  <r>
    <n v="216"/>
    <x v="0"/>
    <x v="7"/>
    <s v="059399"/>
    <s v="Md. Kawsher Ahmed Director"/>
    <x v="13"/>
    <x v="6"/>
    <x v="2"/>
    <s v="General Manager, Merchandising"/>
    <x v="53"/>
    <n v="48000"/>
    <m/>
    <s v="Creative Collection Ltd."/>
    <x v="3"/>
    <s v="MD/ Director"/>
    <m/>
    <n v="1"/>
  </r>
  <r>
    <n v="217"/>
    <x v="0"/>
    <x v="7"/>
    <s v="059390"/>
    <s v="Mir Sawkath Hossain"/>
    <x v="12"/>
    <x v="6"/>
    <x v="2"/>
    <s v="General Manager, Merchandising"/>
    <x v="53"/>
    <n v="62000"/>
    <m/>
    <s v="Creative Collection Ltd."/>
    <x v="0"/>
    <s v="MD/ Director"/>
    <m/>
    <n v="1"/>
  </r>
  <r>
    <n v="218"/>
    <x v="0"/>
    <x v="7"/>
    <s v="059118"/>
    <s v="Ali Reza Azad"/>
    <x v="25"/>
    <x v="6"/>
    <x v="2"/>
    <s v="General Manager, Merchandising"/>
    <x v="56"/>
    <n v="68000"/>
    <m/>
    <s v="That's It Sports Wear Ltd."/>
    <x v="3"/>
    <s v="MD/ Director"/>
    <m/>
    <n v="1"/>
  </r>
  <r>
    <n v="219"/>
    <x v="0"/>
    <x v="7"/>
    <s v="059401"/>
    <s v="Samiul Bin Sakib"/>
    <x v="26"/>
    <x v="6"/>
    <x v="2"/>
    <s v="General Manager, Merchandising"/>
    <x v="53"/>
    <n v="20000"/>
    <m/>
    <s v="Creative Collection Ltd."/>
    <x v="3"/>
    <s v="MD/ Director"/>
    <m/>
    <n v="1"/>
  </r>
  <r>
    <n v="220"/>
    <x v="0"/>
    <x v="7"/>
    <s v="059393"/>
    <s v="Hisma Sumait Arpa"/>
    <x v="26"/>
    <x v="6"/>
    <x v="2"/>
    <s v="General Manager, Merchandising"/>
    <x v="53"/>
    <n v="20000"/>
    <m/>
    <s v="Creative Collection Ltd."/>
    <x v="3"/>
    <s v="MD/ Director"/>
    <m/>
    <n v="1"/>
  </r>
  <r>
    <n v="221"/>
    <x v="0"/>
    <x v="7"/>
    <s v="059281"/>
    <s v="Md. Tanvir Kamal"/>
    <x v="26"/>
    <x v="6"/>
    <x v="1"/>
    <s v="Senior General Manager, Merchandising"/>
    <x v="53"/>
    <n v="20000"/>
    <m/>
    <s v="Refat Garments Ltd."/>
    <x v="3"/>
    <s v="MD/ Director"/>
    <m/>
    <n v="1"/>
  </r>
  <r>
    <n v="222"/>
    <x v="0"/>
    <x v="7"/>
    <s v="059287"/>
    <s v="Ahmed Zobaier Sourav"/>
    <x v="26"/>
    <x v="6"/>
    <x v="1"/>
    <s v="Senior General Manager, Merchandising"/>
    <x v="53"/>
    <n v="20000"/>
    <m/>
    <s v="Creative Collection Ltd."/>
    <x v="3"/>
    <s v="MD/ Director"/>
    <m/>
    <n v="1"/>
  </r>
  <r>
    <n v="223"/>
    <x v="0"/>
    <x v="7"/>
    <s v="059284"/>
    <s v="Suzana Abed "/>
    <x v="26"/>
    <x v="6"/>
    <x v="1"/>
    <s v="Senior General Manager, Merchandising"/>
    <x v="53"/>
    <n v="20000"/>
    <m/>
    <s v="Apparel Gallery Ltd."/>
    <x v="3"/>
    <s v="MD/ Director"/>
    <m/>
    <n v="1"/>
  </r>
  <r>
    <n v="224"/>
    <x v="0"/>
    <x v="7"/>
    <s v="059521"/>
    <s v="Md. Ashfiqur Rahman"/>
    <x v="5"/>
    <x v="10"/>
    <x v="1"/>
    <s v="Deputy General Manager, Procurement &amp; Development"/>
    <x v="57"/>
    <n v="20000"/>
    <m/>
    <s v="Refat Garments Ltd."/>
    <x v="3"/>
    <s v="MD/ Director"/>
    <m/>
    <n v="1"/>
  </r>
  <r>
    <n v="225"/>
    <x v="0"/>
    <x v="7"/>
    <s v="059621"/>
    <s v="Probash Kumar Paul"/>
    <x v="0"/>
    <x v="0"/>
    <x v="0"/>
    <s v="Executive Director, Ashulia"/>
    <x v="58"/>
    <n v="170000"/>
    <m/>
    <s v="Apparel Gallery Ltd."/>
    <x v="3"/>
    <s v="MD/ Director"/>
    <m/>
    <n v="1"/>
  </r>
  <r>
    <n v="226"/>
    <x v="0"/>
    <x v="7"/>
    <s v="057772"/>
    <s v="Milan Ranjana Gunathilake Herath Mudiyanselage"/>
    <x v="0"/>
    <x v="1"/>
    <x v="0"/>
    <s v="Director"/>
    <x v="59"/>
    <m/>
    <n v="2500"/>
    <s v="Refat Garments Ltd."/>
    <x v="1"/>
    <s v="MD/ Director"/>
    <m/>
    <n v="1"/>
  </r>
  <r>
    <n v="227"/>
    <x v="0"/>
    <x v="7"/>
    <s v="057771"/>
    <s v="Saranga Ashoka Bandara Kiridena"/>
    <x v="42"/>
    <x v="1"/>
    <x v="0"/>
    <s v="Director"/>
    <x v="60"/>
    <m/>
    <n v="3500"/>
    <s v="Refat Garments Ltd."/>
    <x v="1"/>
    <s v="MD/ Director"/>
    <m/>
    <n v="1"/>
  </r>
  <r>
    <n v="228"/>
    <x v="0"/>
    <x v="7"/>
    <s v="057439"/>
    <s v="Dasagir Ahmed Sagor"/>
    <x v="15"/>
    <x v="3"/>
    <x v="10"/>
    <s v="General Manager, Admin"/>
    <x v="52"/>
    <n v="10775"/>
    <m/>
    <s v="Fauji Chat Kal Ltd."/>
    <x v="3"/>
    <s v="MD/ Director"/>
    <m/>
    <n v="1"/>
  </r>
  <r>
    <n v="229"/>
    <x v="0"/>
    <x v="7"/>
    <s v="057437"/>
    <s v="Md. Yeasin Molla"/>
    <x v="15"/>
    <x v="3"/>
    <x v="10"/>
    <s v="General Manager, Admin"/>
    <x v="52"/>
    <n v="10775"/>
    <m/>
    <s v="Fauji Chat Kal Ltd."/>
    <x v="3"/>
    <s v="MD/ Director"/>
    <m/>
    <n v="1"/>
  </r>
  <r>
    <n v="230"/>
    <x v="0"/>
    <x v="7"/>
    <s v="057470"/>
    <s v="Md. Rifat Hasan Nahid"/>
    <x v="16"/>
    <x v="3"/>
    <x v="1"/>
    <s v="General Manager, Admin"/>
    <x v="54"/>
    <n v="10775"/>
    <m/>
    <s v="Artistic Design Ltd."/>
    <x v="3"/>
    <s v="MD/ Director"/>
    <m/>
    <n v="1"/>
  </r>
  <r>
    <n v="231"/>
    <x v="0"/>
    <x v="7"/>
    <s v="057697"/>
    <s v="Al-Amin"/>
    <x v="15"/>
    <x v="3"/>
    <x v="10"/>
    <s v="General Manager, Admin"/>
    <x v="59"/>
    <n v="10775"/>
    <m/>
    <s v="Fauji Chat Kal"/>
    <x v="3"/>
    <s v="MD/ Director"/>
    <m/>
    <n v="1"/>
  </r>
  <r>
    <n v="232"/>
    <x v="0"/>
    <x v="7"/>
    <s v="057549"/>
    <s v="Giash Uddin Nirob"/>
    <x v="12"/>
    <x v="6"/>
    <x v="2"/>
    <s v="Deputy General Manager, Merchandising"/>
    <x v="54"/>
    <n v="50000"/>
    <m/>
    <s v="Creative Collection Ltd."/>
    <x v="0"/>
    <s v="MD/ Director"/>
    <m/>
    <n v="1"/>
  </r>
  <r>
    <n v="233"/>
    <x v="0"/>
    <x v="8"/>
    <s v="059865"/>
    <s v="Sohel Gaji"/>
    <x v="17"/>
    <x v="3"/>
    <x v="1"/>
    <s v="GM, Admin"/>
    <x v="61"/>
    <n v="15000"/>
    <m/>
    <s v="Refat Garments Ltd."/>
    <x v="3"/>
    <s v="MD/ Director"/>
    <m/>
    <n v="1"/>
  </r>
  <r>
    <n v="234"/>
    <x v="0"/>
    <x v="8"/>
    <s v="060532"/>
    <s v="Solaiman"/>
    <x v="30"/>
    <x v="3"/>
    <x v="1"/>
    <s v="GM, Admin"/>
    <x v="62"/>
    <n v="18000"/>
    <m/>
    <s v="Refat Garments Ltd."/>
    <x v="0"/>
    <s v="MD/ Director"/>
    <m/>
    <n v="1"/>
  </r>
  <r>
    <n v="235"/>
    <x v="0"/>
    <x v="8"/>
    <s v="059870"/>
    <s v="Syed Abu Sadat Mohammed Sayem"/>
    <x v="5"/>
    <x v="4"/>
    <x v="1"/>
    <s v="Deputy General Manager, Commercial"/>
    <x v="61"/>
    <n v="25000"/>
    <m/>
    <s v="Ha-Meem Textiles Ltd."/>
    <x v="3"/>
    <s v="MD/ Director"/>
    <m/>
    <n v="1"/>
  </r>
  <r>
    <n v="236"/>
    <x v="0"/>
    <x v="8"/>
    <s v="062349"/>
    <s v="Md. Mehedi Hasan"/>
    <x v="10"/>
    <x v="4"/>
    <x v="1"/>
    <s v="DGM, Commercial"/>
    <x v="63"/>
    <n v="42000"/>
    <m/>
    <s v="Ha-Meem Textiles Ltd."/>
    <x v="3"/>
    <s v="MD/ Director"/>
    <m/>
    <n v="1"/>
  </r>
  <r>
    <n v="237"/>
    <x v="0"/>
    <x v="8"/>
    <s v="062568"/>
    <s v="Md. Ariful Hoque Rian"/>
    <x v="34"/>
    <x v="13"/>
    <x v="2"/>
    <s v="Assistant Manager, Design Studio"/>
    <x v="64"/>
    <n v="20000"/>
    <m/>
    <s v="Creative Collection Ltd."/>
    <x v="3"/>
    <s v="MD/ Director"/>
    <m/>
    <n v="1"/>
  </r>
  <r>
    <n v="238"/>
    <x v="0"/>
    <x v="8"/>
    <s v="059868"/>
    <s v="Tanjila Tabasum"/>
    <x v="34"/>
    <x v="13"/>
    <x v="1"/>
    <s v="Assistant General Manager, Design &amp; Development"/>
    <x v="61"/>
    <n v="20000"/>
    <m/>
    <s v="Apparel Gallery Ltd."/>
    <x v="3"/>
    <s v="MD/ Director"/>
    <m/>
    <n v="1"/>
  </r>
  <r>
    <n v="239"/>
    <x v="0"/>
    <x v="8"/>
    <s v="062342"/>
    <s v="Md. Shafiul Alam"/>
    <x v="35"/>
    <x v="13"/>
    <x v="1"/>
    <s v="General Manager, Design &amp; Development"/>
    <x v="63"/>
    <n v="50000"/>
    <m/>
    <s v="Refat Garments Ltd."/>
    <x v="3"/>
    <s v="MD/ Director"/>
    <m/>
    <n v="1"/>
  </r>
  <r>
    <n v="240"/>
    <x v="0"/>
    <x v="8"/>
    <s v="059862"/>
    <s v="Shapla Sultana"/>
    <x v="5"/>
    <x v="9"/>
    <x v="3"/>
    <s v="GM, Engineering"/>
    <x v="61"/>
    <n v="25000"/>
    <m/>
    <s v="Creative Collection Ltd."/>
    <x v="2"/>
    <s v="MD/ Director"/>
    <m/>
    <n v="1"/>
  </r>
  <r>
    <n v="241"/>
    <x v="0"/>
    <x v="8"/>
    <s v="062795"/>
    <s v="Mahmood"/>
    <x v="10"/>
    <x v="12"/>
    <x v="1"/>
    <s v="Assistant General Manager, ERP"/>
    <x v="65"/>
    <n v="45000"/>
    <m/>
    <s v="Refat Garments Ltd."/>
    <x v="2"/>
    <s v="MD/ Director"/>
    <m/>
    <n v="1"/>
  </r>
  <r>
    <n v="242"/>
    <x v="0"/>
    <x v="8"/>
    <s v="059698"/>
    <s v="A.K.M. Mohiuddin"/>
    <x v="11"/>
    <x v="12"/>
    <x v="1"/>
    <s v="Assistant General Manager, ERP"/>
    <x v="66"/>
    <n v="85000"/>
    <m/>
    <s v="Ha-Meem Spinning Mills Ltd."/>
    <x v="3"/>
    <s v="MD/ Director"/>
    <m/>
    <n v="1"/>
  </r>
  <r>
    <n v="243"/>
    <x v="0"/>
    <x v="8"/>
    <s v="059860"/>
    <s v="Md. Zakaria Hossain"/>
    <x v="9"/>
    <x v="12"/>
    <x v="1"/>
    <s v="Asssitant General Manager, ERP"/>
    <x v="61"/>
    <n v="65000"/>
    <m/>
    <s v="Refat Garments Ltd."/>
    <x v="0"/>
    <s v="MD/ Director"/>
    <m/>
    <n v="1"/>
  </r>
  <r>
    <n v="244"/>
    <x v="0"/>
    <x v="8"/>
    <s v="059871"/>
    <s v="Zahidul Islam"/>
    <x v="5"/>
    <x v="8"/>
    <x v="1"/>
    <s v="General Manager, Finance &amp; Accounts"/>
    <x v="61"/>
    <n v="26000"/>
    <m/>
    <s v="Refat Garments Ltd."/>
    <x v="3"/>
    <s v="MD/ Director"/>
    <m/>
    <n v="1"/>
  </r>
  <r>
    <n v="245"/>
    <x v="0"/>
    <x v="8"/>
    <s v="059863"/>
    <s v="A.S.M. Abdul Gofur"/>
    <x v="5"/>
    <x v="2"/>
    <x v="0"/>
    <s v="Assistant General Manager, Ashulia"/>
    <x v="61"/>
    <n v="22000"/>
    <m/>
    <s v="Shahzaib Washing &amp; Dyeing Ltd."/>
    <x v="3"/>
    <s v="MD/ Director"/>
    <m/>
    <n v="1"/>
  </r>
  <r>
    <n v="246"/>
    <x v="0"/>
    <x v="8"/>
    <s v="062320"/>
    <s v="Sanoar Sany"/>
    <x v="10"/>
    <x v="2"/>
    <x v="3"/>
    <s v="Deputy General Manager, Human Resources"/>
    <x v="63"/>
    <n v="35000"/>
    <m/>
    <s v="Ha-Meem Denim Ltd."/>
    <x v="3"/>
    <s v="MD/ Director"/>
    <m/>
    <n v="1"/>
  </r>
  <r>
    <n v="247"/>
    <x v="0"/>
    <x v="8"/>
    <s v="062318"/>
    <s v="Md. Mehedi Murad Munshi"/>
    <x v="10"/>
    <x v="2"/>
    <x v="3"/>
    <s v="Deputy General Manager, Human Resources"/>
    <x v="63"/>
    <n v="33000"/>
    <m/>
    <s v="Ha-Meem Textiles Ltd."/>
    <x v="3"/>
    <s v="MD/ Director"/>
    <m/>
    <n v="1"/>
  </r>
  <r>
    <n v="248"/>
    <x v="0"/>
    <x v="8"/>
    <s v="062326"/>
    <s v="Kaicobad Hassan"/>
    <x v="43"/>
    <x v="15"/>
    <x v="1"/>
    <s v="Assistant General Manager, Information Technology"/>
    <x v="63"/>
    <n v="50000"/>
    <m/>
    <s v="Refat Garments Ltd."/>
    <x v="3"/>
    <s v="MD/ Director"/>
    <m/>
    <n v="1"/>
  </r>
  <r>
    <n v="249"/>
    <x v="0"/>
    <x v="8"/>
    <s v="062292"/>
    <s v="Md. Rezaul Karim Bishwas"/>
    <x v="24"/>
    <x v="6"/>
    <x v="0"/>
    <s v="Executive Director, NCL"/>
    <x v="63"/>
    <n v="240000"/>
    <m/>
    <s v="Next Collections Ltd."/>
    <x v="2"/>
    <s v="MD/ Director"/>
    <m/>
    <n v="1"/>
  </r>
  <r>
    <n v="250"/>
    <x v="0"/>
    <x v="8"/>
    <s v="062804"/>
    <s v="Minhaj Shawon"/>
    <x v="44"/>
    <x v="6"/>
    <x v="1"/>
    <s v="Senior General Manager, Merchandising"/>
    <x v="65"/>
    <n v="15000"/>
    <m/>
    <s v="Artistic Design Ltd."/>
    <x v="3"/>
    <s v="MD/ Director"/>
    <m/>
    <n v="1"/>
  </r>
  <r>
    <n v="251"/>
    <x v="0"/>
    <x v="8"/>
    <s v="062808"/>
    <s v="Mohammad Naimul Islam"/>
    <x v="26"/>
    <x v="6"/>
    <x v="1"/>
    <s v="Senior General Manager, Merchandising"/>
    <x v="65"/>
    <n v="20000"/>
    <m/>
    <s v="Creative Collection Ltd."/>
    <x v="3"/>
    <s v="MD/ Director"/>
    <m/>
    <n v="1"/>
  </r>
  <r>
    <n v="252"/>
    <x v="0"/>
    <x v="8"/>
    <s v="062809"/>
    <s v="Sagur Mahamod"/>
    <x v="26"/>
    <x v="6"/>
    <x v="1"/>
    <s v="Senior General Manager, Merchandising"/>
    <x v="65"/>
    <n v="20000"/>
    <m/>
    <s v="Refat Garments Ltd."/>
    <x v="3"/>
    <s v="MD/ Director"/>
    <m/>
    <n v="1"/>
  </r>
  <r>
    <n v="253"/>
    <x v="0"/>
    <x v="8"/>
    <s v="061358"/>
    <s v="Rahul Bhowmick"/>
    <x v="5"/>
    <x v="10"/>
    <x v="1"/>
    <s v="Deputy General Manager, Procurement &amp; Development"/>
    <x v="67"/>
    <n v="25000"/>
    <m/>
    <s v="Refat Garments Ltd."/>
    <x v="3"/>
    <s v="MD/ Director"/>
    <m/>
    <n v="1"/>
  </r>
  <r>
    <n v="254"/>
    <x v="0"/>
    <x v="8"/>
    <s v="059805"/>
    <s v="Koddithuwakku Aratchige Chamindra Rajitha Angulugaha"/>
    <x v="0"/>
    <x v="1"/>
    <x v="0"/>
    <s v="Director"/>
    <x v="68"/>
    <n v="240000"/>
    <m/>
    <s v="Refat Garments Ltd."/>
    <x v="1"/>
    <s v="MD/ Director"/>
    <m/>
    <n v="1"/>
  </r>
  <r>
    <n v="255"/>
    <x v="0"/>
    <x v="8"/>
    <s v="059787"/>
    <s v="Robiul Alom"/>
    <x v="15"/>
    <x v="3"/>
    <x v="7"/>
    <s v="General Manager, Admin"/>
    <x v="69"/>
    <n v="10775"/>
    <m/>
    <s v="Refat Garments Ltd."/>
    <x v="2"/>
    <s v="MD/ Director"/>
    <m/>
    <n v="1"/>
  </r>
  <r>
    <n v="256"/>
    <x v="0"/>
    <x v="8"/>
    <s v="059788"/>
    <s v="Md. Sumon Howlader"/>
    <x v="15"/>
    <x v="3"/>
    <x v="7"/>
    <s v="General Manager, Admin"/>
    <x v="69"/>
    <n v="10775"/>
    <m/>
    <s v="Refat Garments Ltd."/>
    <x v="2"/>
    <s v="MD/ Director"/>
    <m/>
    <n v="1"/>
  </r>
  <r>
    <n v="257"/>
    <x v="0"/>
    <x v="8"/>
    <s v="059864"/>
    <s v="Roton Kumar Biswas"/>
    <x v="15"/>
    <x v="3"/>
    <x v="7"/>
    <s v="General Manager, Admin"/>
    <x v="61"/>
    <n v="10775"/>
    <m/>
    <s v="Refat Garments Ltd."/>
    <x v="2"/>
    <s v="MD/ Director"/>
    <m/>
    <n v="1"/>
  </r>
  <r>
    <n v="258"/>
    <x v="0"/>
    <x v="8"/>
    <s v="062337"/>
    <s v="Najir Hossain"/>
    <x v="45"/>
    <x v="3"/>
    <x v="1"/>
    <s v="General Manager, Admin"/>
    <x v="63"/>
    <n v="15000"/>
    <m/>
    <s v="Refat Garments Ltd."/>
    <x v="0"/>
    <s v="MD/ Director"/>
    <m/>
    <n v="1"/>
  </r>
  <r>
    <n v="259"/>
    <x v="0"/>
    <x v="8"/>
    <s v="062333"/>
    <s v="Md. Nayem"/>
    <x v="15"/>
    <x v="3"/>
    <x v="10"/>
    <s v="General Manager, Admin"/>
    <x v="63"/>
    <n v="10775"/>
    <m/>
    <s v="Fauji Chat Kal Ltd."/>
    <x v="2"/>
    <s v="MD/ Director"/>
    <m/>
    <n v="1"/>
  </r>
  <r>
    <n v="260"/>
    <x v="0"/>
    <x v="8"/>
    <s v="062335"/>
    <s v="Md. Shohag"/>
    <x v="15"/>
    <x v="3"/>
    <x v="10"/>
    <s v="General Manager, Admin"/>
    <x v="63"/>
    <n v="10775"/>
    <m/>
    <s v="Fauji Chat Kal Ltd."/>
    <x v="2"/>
    <s v="MD/ Director"/>
    <m/>
    <n v="1"/>
  </r>
  <r>
    <n v="261"/>
    <x v="0"/>
    <x v="8"/>
    <s v="060338"/>
    <s v="Abu Masud Khan"/>
    <x v="21"/>
    <x v="3"/>
    <x v="1"/>
    <s v="General Manager, Admin"/>
    <x v="70"/>
    <n v="14000"/>
    <m/>
    <s v="Refat Garments Ltd."/>
    <x v="0"/>
    <s v="MD/ Director"/>
    <m/>
    <n v="1"/>
  </r>
  <r>
    <n v="262"/>
    <x v="0"/>
    <x v="9"/>
    <s v="066133"/>
    <s v="Masudur Rahman"/>
    <x v="0"/>
    <x v="0"/>
    <x v="0"/>
    <s v="Director/ Group DMD"/>
    <x v="71"/>
    <n v="500000"/>
    <m/>
    <s v="Creative Wash Ltd."/>
    <x v="2"/>
    <s v="MD/ Director"/>
    <m/>
    <n v="1"/>
  </r>
  <r>
    <n v="263"/>
    <x v="0"/>
    <x v="9"/>
    <s v="065768"/>
    <s v="Abdullah Al Mamun"/>
    <x v="8"/>
    <x v="4"/>
    <x v="1"/>
    <s v="Deputy General Manager, Commercial"/>
    <x v="71"/>
    <n v="20000"/>
    <m/>
    <s v="That's It Sports Wear Ltd."/>
    <x v="3"/>
    <s v="MD/ Director"/>
    <m/>
    <n v="1"/>
  </r>
  <r>
    <n v="264"/>
    <x v="0"/>
    <x v="9"/>
    <s v="065770"/>
    <s v="Sadman Tayin"/>
    <x v="8"/>
    <x v="4"/>
    <x v="1"/>
    <s v="Deputy General Manager, Commercial"/>
    <x v="71"/>
    <n v="20000"/>
    <m/>
    <s v="Creative Collection Ltd."/>
    <x v="3"/>
    <s v="MD/ Director"/>
    <m/>
    <n v="1"/>
  </r>
  <r>
    <n v="265"/>
    <x v="0"/>
    <x v="9"/>
    <s v="063040"/>
    <s v="Md. Sazzad Hossain"/>
    <x v="5"/>
    <x v="4"/>
    <x v="1"/>
    <s v="Assistant General Manager, Commercial"/>
    <x v="72"/>
    <n v="28000"/>
    <m/>
    <s v="Artistic Design Ltd."/>
    <x v="3"/>
    <s v="MD/ Director"/>
    <m/>
    <n v="1"/>
  </r>
  <r>
    <n v="266"/>
    <x v="0"/>
    <x v="9"/>
    <s v="065762"/>
    <s v="Tarif Md. Saif"/>
    <x v="35"/>
    <x v="13"/>
    <x v="1"/>
    <s v="General Manager, Design &amp; Development"/>
    <x v="71"/>
    <n v="45000"/>
    <m/>
    <s v="Refat Garments Ltd."/>
    <x v="0"/>
    <s v="MD/ Director"/>
    <m/>
    <n v="1"/>
  </r>
  <r>
    <n v="267"/>
    <x v="0"/>
    <x v="9"/>
    <s v="065904"/>
    <s v="Md. Tanjirul Islam Tamal"/>
    <x v="35"/>
    <x v="13"/>
    <x v="2"/>
    <s v="Assistant Manager, Design &amp; Development"/>
    <x v="71"/>
    <n v="42000"/>
    <m/>
    <s v="Creative Collection Ltd."/>
    <x v="3"/>
    <s v="MD/ Director"/>
    <m/>
    <n v="1"/>
  </r>
  <r>
    <n v="268"/>
    <x v="0"/>
    <x v="9"/>
    <s v="066267"/>
    <s v="Md. Aslam Hossain"/>
    <x v="24"/>
    <x v="8"/>
    <x v="1"/>
    <s v="Executive Director, Finance &amp; Accounts"/>
    <x v="73"/>
    <n v="230000"/>
    <m/>
    <s v="Ha-Meem Denim Ltd."/>
    <x v="3"/>
    <s v="MD/ Director"/>
    <m/>
    <n v="1"/>
  </r>
  <r>
    <n v="269"/>
    <x v="0"/>
    <x v="9"/>
    <s v="065751"/>
    <s v="Md. Sihab-Al-Ahasan Sopnil"/>
    <x v="46"/>
    <x v="9"/>
    <x v="0"/>
    <s v="General Manager, Engineering"/>
    <x v="71"/>
    <n v="22000"/>
    <m/>
    <s v="That's It Sports Wear Ltd."/>
    <x v="3"/>
    <s v="MD/ Director"/>
    <m/>
    <n v="1"/>
  </r>
  <r>
    <n v="270"/>
    <x v="0"/>
    <x v="9"/>
    <s v="065749"/>
    <s v="Rahat Ahmed Raju"/>
    <x v="47"/>
    <x v="9"/>
    <x v="0"/>
    <s v="General Manager, Engineering"/>
    <x v="71"/>
    <n v="24000"/>
    <m/>
    <s v="Artistic Design Ltd."/>
    <x v="3"/>
    <s v="MD/ Director"/>
    <m/>
    <n v="1"/>
  </r>
  <r>
    <n v="271"/>
    <x v="0"/>
    <x v="9"/>
    <s v="063048"/>
    <s v="K.M Tonmoy Ahasan"/>
    <x v="8"/>
    <x v="2"/>
    <x v="0"/>
    <s v="Assistant General Manager, Human Resources"/>
    <x v="72"/>
    <n v="18000"/>
    <m/>
    <s v="Artistic Design Ltd."/>
    <x v="3"/>
    <s v="MD/ Director"/>
    <m/>
    <n v="1"/>
  </r>
  <r>
    <n v="272"/>
    <x v="0"/>
    <x v="9"/>
    <s v="063023"/>
    <s v="Md. Sourab Hossain"/>
    <x v="5"/>
    <x v="2"/>
    <x v="0"/>
    <s v="Assistant General Manager, Human Resources"/>
    <x v="72"/>
    <n v="20000"/>
    <m/>
    <s v="That's It Sports Wear Ltd."/>
    <x v="0"/>
    <s v="MD/ Director"/>
    <m/>
    <n v="1"/>
  </r>
  <r>
    <n v="273"/>
    <x v="0"/>
    <x v="9"/>
    <s v="063031"/>
    <s v="Yeasin Ahamed Shuvo"/>
    <x v="5"/>
    <x v="2"/>
    <x v="0"/>
    <s v="Assistant General Manager, Human Resources"/>
    <x v="72"/>
    <n v="20000"/>
    <m/>
    <s v="That's It Sports Wear Ltd."/>
    <x v="0"/>
    <s v="MD/ Director"/>
    <m/>
    <n v="1"/>
  </r>
  <r>
    <n v="274"/>
    <x v="0"/>
    <x v="9"/>
    <s v="063018"/>
    <s v="Masrakul Azam Rabi"/>
    <x v="48"/>
    <x v="19"/>
    <x v="0"/>
    <s v="Group DMD"/>
    <x v="72"/>
    <n v="300000"/>
    <m/>
    <s v="Artistic Design Ltd."/>
    <x v="2"/>
    <s v="MD/ Director"/>
    <m/>
    <n v="1"/>
  </r>
  <r>
    <n v="275"/>
    <x v="0"/>
    <x v="9"/>
    <s v="065746"/>
    <s v="Fakhrul Islam"/>
    <x v="5"/>
    <x v="20"/>
    <x v="1"/>
    <s v="Executive Director, Legal"/>
    <x v="71"/>
    <n v="22000"/>
    <m/>
    <s v="Refat Garments Ltd."/>
    <x v="3"/>
    <s v="MD/ Director"/>
    <m/>
    <n v="1"/>
  </r>
  <r>
    <n v="276"/>
    <x v="0"/>
    <x v="9"/>
    <s v="065902"/>
    <s v="Ashfaqur Rahman"/>
    <x v="12"/>
    <x v="6"/>
    <x v="2"/>
    <s v="General Manager, Merchandising"/>
    <x v="71"/>
    <n v="45000"/>
    <m/>
    <s v="Creative Collection Ltd."/>
    <x v="3"/>
    <s v="MD/ Director"/>
    <m/>
    <n v="1"/>
  </r>
  <r>
    <n v="277"/>
    <x v="0"/>
    <x v="9"/>
    <s v="065903"/>
    <s v="Nasrin Sultana"/>
    <x v="26"/>
    <x v="6"/>
    <x v="2"/>
    <s v="General Manager, Merchandising"/>
    <x v="71"/>
    <n v="20000"/>
    <m/>
    <s v="Creative Collection Ltd."/>
    <x v="3"/>
    <s v="MD/ Director"/>
    <m/>
    <n v="1"/>
  </r>
  <r>
    <n v="278"/>
    <x v="0"/>
    <x v="9"/>
    <s v="063036"/>
    <s v="Farjana Akter"/>
    <x v="26"/>
    <x v="6"/>
    <x v="1"/>
    <s v="Assistant General Manager, Merchandising"/>
    <x v="72"/>
    <n v="20000"/>
    <m/>
    <s v="Artistic Design Ltd."/>
    <x v="3"/>
    <s v="MD/ Director"/>
    <m/>
    <n v="1"/>
  </r>
  <r>
    <n v="279"/>
    <x v="0"/>
    <x v="9"/>
    <s v="065769"/>
    <s v="Sharmin Jahan"/>
    <x v="26"/>
    <x v="6"/>
    <x v="1"/>
    <s v="Assistant General Manager, Merchandising"/>
    <x v="71"/>
    <n v="20000"/>
    <m/>
    <s v="Refat Garments Ltd."/>
    <x v="3"/>
    <s v="MD/ Director"/>
    <m/>
    <n v="1"/>
  </r>
  <r>
    <n v="280"/>
    <x v="0"/>
    <x v="9"/>
    <s v="065765"/>
    <s v="Mehedi Hasan Robin"/>
    <x v="26"/>
    <x v="6"/>
    <x v="1"/>
    <s v="Assistant General Manager, Merchandising"/>
    <x v="71"/>
    <n v="20000"/>
    <m/>
    <s v="Refat Garments Ltd."/>
    <x v="0"/>
    <s v="MD/ Director"/>
    <m/>
    <n v="1"/>
  </r>
  <r>
    <n v="281"/>
    <x v="0"/>
    <x v="9"/>
    <s v="A43343"/>
    <s v="Shadin Mia"/>
    <x v="49"/>
    <x v="6"/>
    <x v="1"/>
    <s v="Manager, Merchandising"/>
    <x v="74"/>
    <n v="18000"/>
    <m/>
    <s v="Artistic Design Ltd."/>
    <x v="3"/>
    <s v="MD/ Director"/>
    <m/>
    <n v="1"/>
  </r>
  <r>
    <n v="282"/>
    <x v="0"/>
    <x v="9"/>
    <s v="065737"/>
    <s v="Mohammad Ali"/>
    <x v="47"/>
    <x v="18"/>
    <x v="1"/>
    <s v="Head of Power &amp; Energy"/>
    <x v="71"/>
    <n v="15000"/>
    <m/>
    <s v="Refat Garments Ltd."/>
    <x v="0"/>
    <s v="MD/ Director"/>
    <m/>
    <n v="1"/>
  </r>
  <r>
    <n v="283"/>
    <x v="0"/>
    <x v="9"/>
    <s v="065736"/>
    <s v="Md. Tawhidul Islam"/>
    <x v="47"/>
    <x v="18"/>
    <x v="1"/>
    <s v="Head of Power &amp; Energy"/>
    <x v="71"/>
    <n v="15000"/>
    <m/>
    <s v="Refat Garments Ltd."/>
    <x v="3"/>
    <s v="MD/ Director"/>
    <m/>
    <n v="1"/>
  </r>
  <r>
    <n v="284"/>
    <x v="0"/>
    <x v="9"/>
    <s v="065759"/>
    <s v="A.R.M Shaikat"/>
    <x v="8"/>
    <x v="18"/>
    <x v="1"/>
    <s v="Head of Power &amp; Energy"/>
    <x v="71"/>
    <n v="15000"/>
    <m/>
    <s v="Apparel Gallery Ltd."/>
    <x v="0"/>
    <s v="MD/ Director"/>
    <m/>
    <n v="1"/>
  </r>
  <r>
    <n v="285"/>
    <x v="0"/>
    <x v="9"/>
    <s v="065753"/>
    <s v="Khan Md. Fazlul Huq"/>
    <x v="9"/>
    <x v="18"/>
    <x v="1"/>
    <s v="Head of Power &amp; Energy"/>
    <x v="71"/>
    <n v="65000"/>
    <m/>
    <s v="Refat Garments Ltd."/>
    <x v="3"/>
    <s v="MD/ Director"/>
    <m/>
    <n v="1"/>
  </r>
  <r>
    <n v="286"/>
    <x v="0"/>
    <x v="9"/>
    <s v="063045"/>
    <s v="Sk Murad Hossain"/>
    <x v="5"/>
    <x v="3"/>
    <x v="1"/>
    <s v="General Manager, Admin"/>
    <x v="72"/>
    <n v="25000"/>
    <m/>
    <s v="Next Collection Ltd."/>
    <x v="3"/>
    <s v="MD/ Director"/>
    <m/>
    <n v="1"/>
  </r>
  <r>
    <n v="287"/>
    <x v="0"/>
    <x v="9"/>
    <s v="066266"/>
    <s v="Md. Dulal Miah"/>
    <x v="15"/>
    <x v="3"/>
    <x v="10"/>
    <s v="General Manager, Admin"/>
    <x v="75"/>
    <n v="10775"/>
    <m/>
    <s v="Fauji Chat Kal Ltd."/>
    <x v="1"/>
    <s v="MD/ Director"/>
    <m/>
    <n v="1"/>
  </r>
  <r>
    <n v="288"/>
    <x v="0"/>
    <x v="9"/>
    <s v="A53023"/>
    <s v="Md. Jamal Mondol"/>
    <x v="15"/>
    <x v="3"/>
    <x v="7"/>
    <s v="General Manager, Admin"/>
    <x v="76"/>
    <n v="10775"/>
    <m/>
    <s v="Refat Garments Ltd."/>
    <x v="3"/>
    <s v="MD/ Director"/>
    <m/>
    <n v="1"/>
  </r>
  <r>
    <n v="289"/>
    <x v="0"/>
    <x v="9"/>
    <s v="A23213"/>
    <s v="Rajib Chakraborty"/>
    <x v="0"/>
    <x v="14"/>
    <x v="4"/>
    <s v="Executive Director, Zonal"/>
    <x v="77"/>
    <n v="300000"/>
    <m/>
    <s v="Bright Wash Ltd."/>
    <x v="3"/>
    <s v="MD/ Director"/>
    <m/>
    <n v="1"/>
  </r>
</pivotCacheRecords>
</file>

<file path=xl/pivotCache/pivotCacheRecords2.xml><?xml version="1.0" encoding="utf-8"?>
<pivotCacheRecords xmlns="http://schemas.openxmlformats.org/spreadsheetml/2006/main" xmlns:r="http://schemas.openxmlformats.org/officeDocument/2006/relationships" count="289">
  <r>
    <n v="1"/>
    <x v="0"/>
    <x v="0"/>
    <n v="50910"/>
    <s v="Muhammad Zahidul Islam"/>
    <x v="0"/>
    <x v="0"/>
    <x v="0"/>
    <s v="Senior Executive Director"/>
    <d v="2023-01-01T00:00:00"/>
    <n v="40000"/>
    <m/>
    <s v="That's It Sports Wear Ltd."/>
    <x v="0"/>
    <s v="MD"/>
    <m/>
    <n v="1"/>
  </r>
  <r>
    <n v="2"/>
    <x v="0"/>
    <x v="0"/>
    <n v="41924"/>
    <s v="Nagesha Krishnappa"/>
    <x v="0"/>
    <x v="1"/>
    <x v="0"/>
    <s v="Director"/>
    <d v="2022-12-26T00:00:00"/>
    <m/>
    <n v="2700"/>
    <s v="Refat Garments Ltd."/>
    <x v="1"/>
    <s v="MD"/>
    <m/>
    <n v="1"/>
  </r>
  <r>
    <n v="3"/>
    <x v="0"/>
    <x v="0"/>
    <n v="51185"/>
    <s v="Nourin Zahan Elma"/>
    <x v="1"/>
    <x v="2"/>
    <x v="1"/>
    <s v="Director, Human Resources"/>
    <d v="2023-01-16T00:00:00"/>
    <n v="45000"/>
    <m/>
    <s v="Next Collections Ltd."/>
    <x v="2"/>
    <s v="MD"/>
    <m/>
    <n v="1"/>
  </r>
  <r>
    <n v="4"/>
    <x v="0"/>
    <x v="0"/>
    <n v="51203"/>
    <s v="Kamrul Hasan"/>
    <x v="1"/>
    <x v="2"/>
    <x v="1"/>
    <s v="Director, Human Resources"/>
    <d v="2023-01-16T00:00:00"/>
    <n v="45000"/>
    <m/>
    <s v="Refat Garments Ltd."/>
    <x v="2"/>
    <s v="MD"/>
    <m/>
    <n v="1"/>
  </r>
  <r>
    <n v="5"/>
    <x v="0"/>
    <x v="0"/>
    <n v="51200"/>
    <s v="Ahmad Nafi-Us-Saleheen"/>
    <x v="1"/>
    <x v="2"/>
    <x v="1"/>
    <s v="Director, Human Resources"/>
    <d v="2023-01-16T00:00:00"/>
    <n v="45000"/>
    <m/>
    <s v="That's It Sports Wear Ltd."/>
    <x v="2"/>
    <s v="MD"/>
    <m/>
    <n v="1"/>
  </r>
  <r>
    <n v="6"/>
    <x v="0"/>
    <x v="0"/>
    <n v="51204"/>
    <s v="Mamur Nur Amin Chowdhury"/>
    <x v="1"/>
    <x v="2"/>
    <x v="1"/>
    <s v="Director, Human Resources"/>
    <d v="2023-01-16T00:00:00"/>
    <n v="45000"/>
    <m/>
    <s v="That's It Sports Wear Ltd."/>
    <x v="2"/>
    <s v="MD"/>
    <m/>
    <n v="1"/>
  </r>
  <r>
    <n v="7"/>
    <x v="0"/>
    <x v="0"/>
    <n v="51188"/>
    <s v="Md. Golam Muktadir Asif"/>
    <x v="1"/>
    <x v="2"/>
    <x v="1"/>
    <s v="Director, Human Resources"/>
    <d v="2023-01-16T00:00:00"/>
    <n v="45000"/>
    <m/>
    <s v="Next Collections Ltd."/>
    <x v="2"/>
    <s v="MD"/>
    <m/>
    <n v="1"/>
  </r>
  <r>
    <n v="8"/>
    <x v="0"/>
    <x v="0"/>
    <n v="51187"/>
    <s v="Sudip Saurav Guha"/>
    <x v="1"/>
    <x v="2"/>
    <x v="1"/>
    <s v="Director, Human Resources"/>
    <d v="2023-01-16T00:00:00"/>
    <n v="45000"/>
    <m/>
    <s v="Refat Garments Ltd."/>
    <x v="2"/>
    <s v="MD"/>
    <m/>
    <n v="1"/>
  </r>
  <r>
    <n v="9"/>
    <x v="0"/>
    <x v="0"/>
    <n v="50952"/>
    <s v="Md. Arif Shekh"/>
    <x v="2"/>
    <x v="3"/>
    <x v="1"/>
    <s v="Deputy General Manager, Admin"/>
    <d v="2023-01-01T00:00:00"/>
    <n v="13500"/>
    <m/>
    <s v="Refat Garments Ltd."/>
    <x v="2"/>
    <s v="MD"/>
    <m/>
    <n v="1"/>
  </r>
  <r>
    <n v="10"/>
    <x v="0"/>
    <x v="0"/>
    <n v="50884"/>
    <s v="Johnson Joseph Kavoo"/>
    <x v="3"/>
    <x v="1"/>
    <x v="0"/>
    <s v="Group DMD"/>
    <d v="2022-12-31T00:00:00"/>
    <m/>
    <n v="2800"/>
    <s v="Apparel Gallery Ltd."/>
    <x v="1"/>
    <s v="MD"/>
    <m/>
    <n v="1"/>
  </r>
  <r>
    <n v="11"/>
    <x v="0"/>
    <x v="0"/>
    <n v="51190"/>
    <s v="Md. Jashim Uddin"/>
    <x v="4"/>
    <x v="4"/>
    <x v="1"/>
    <s v="Assistant General Manager, Commercial"/>
    <d v="2023-01-16T00:00:00"/>
    <n v="32000"/>
    <m/>
    <s v="Refat Garments Ltd."/>
    <x v="2"/>
    <s v="MD"/>
    <m/>
    <n v="1"/>
  </r>
  <r>
    <n v="12"/>
    <x v="0"/>
    <x v="0"/>
    <n v="51189"/>
    <s v="Kazi Imran"/>
    <x v="4"/>
    <x v="4"/>
    <x v="1"/>
    <s v="Senior Executive Director"/>
    <d v="2023-01-16T00:00:00"/>
    <n v="30000"/>
    <m/>
    <s v="Refat Garments Ltd."/>
    <x v="2"/>
    <s v="MD"/>
    <m/>
    <n v="1"/>
  </r>
  <r>
    <n v="13"/>
    <x v="0"/>
    <x v="0"/>
    <n v="51194"/>
    <s v="Md. Zulfikar Ali Khan"/>
    <x v="4"/>
    <x v="4"/>
    <x v="1"/>
    <s v="Assistant General Manager, Commercial"/>
    <d v="2023-01-16T00:00:00"/>
    <n v="28000"/>
    <m/>
    <s v="Refat Garments Ltd."/>
    <x v="2"/>
    <s v="MD"/>
    <m/>
    <n v="1"/>
  </r>
  <r>
    <n v="14"/>
    <x v="0"/>
    <x v="0"/>
    <n v="51205"/>
    <s v="Anu Rajbongshi"/>
    <x v="5"/>
    <x v="4"/>
    <x v="1"/>
    <s v="Assistant General Manager, Commercial"/>
    <d v="2023-01-16T00:00:00"/>
    <n v="22000"/>
    <m/>
    <s v="That's It Sports Wear Ltd."/>
    <x v="2"/>
    <s v="MD"/>
    <m/>
    <n v="1"/>
  </r>
  <r>
    <n v="15"/>
    <x v="0"/>
    <x v="0"/>
    <n v="50890"/>
    <s v="Al Amin"/>
    <x v="5"/>
    <x v="4"/>
    <x v="1"/>
    <s v="Senior General Manager, Commercial"/>
    <d v="2023-01-01T00:00:00"/>
    <n v="30000"/>
    <m/>
    <s v="Creative Collection Ltd."/>
    <x v="3"/>
    <s v="MD"/>
    <m/>
    <n v="1"/>
  </r>
  <r>
    <n v="16"/>
    <x v="0"/>
    <x v="0"/>
    <n v="51201"/>
    <s v="Md. Habibur Rashid Shuvon"/>
    <x v="5"/>
    <x v="4"/>
    <x v="1"/>
    <s v="Senior General Manager, Commercial"/>
    <d v="2023-01-16T00:00:00"/>
    <n v="27000"/>
    <m/>
    <s v="Creative Collection Ltd."/>
    <x v="3"/>
    <s v="MD"/>
    <m/>
    <n v="1"/>
  </r>
  <r>
    <n v="17"/>
    <x v="0"/>
    <x v="0"/>
    <n v="50899"/>
    <s v="Sohag Hossain"/>
    <x v="6"/>
    <x v="3"/>
    <x v="1"/>
    <s v="Deputy General Manager, Admin"/>
    <d v="2023-01-01T00:00:00"/>
    <n v="12000"/>
    <m/>
    <s v="Refat Garments Ltd."/>
    <x v="3"/>
    <s v="MD"/>
    <m/>
    <n v="1"/>
  </r>
  <r>
    <n v="18"/>
    <x v="0"/>
    <x v="0"/>
    <n v="51196"/>
    <s v="Sohel Sikder"/>
    <x v="7"/>
    <x v="3"/>
    <x v="1"/>
    <s v="Senior General Manager, Commercial"/>
    <d v="2023-01-16T00:00:00"/>
    <n v="10000"/>
    <m/>
    <s v="Ha-Meem Denim Ltd."/>
    <x v="2"/>
    <s v="MD"/>
    <m/>
    <n v="1"/>
  </r>
  <r>
    <n v="19"/>
    <x v="0"/>
    <x v="0"/>
    <n v="51285"/>
    <s v="Md. Nayeem Sarder"/>
    <x v="7"/>
    <x v="3"/>
    <x v="2"/>
    <s v="Deputy General Manager, Admin"/>
    <d v="2023-01-16T00:00:00"/>
    <n v="10000"/>
    <m/>
    <s v="Creative Collection Ltd."/>
    <x v="3"/>
    <s v="MD"/>
    <m/>
    <n v="1"/>
  </r>
  <r>
    <n v="20"/>
    <x v="0"/>
    <x v="0"/>
    <n v="50887"/>
    <s v="Md. Rubel Hasan"/>
    <x v="8"/>
    <x v="2"/>
    <x v="3"/>
    <s v="Deputy General Manager, Human Resources"/>
    <d v="2022-12-24T00:00:00"/>
    <n v="21500"/>
    <m/>
    <s v="Ha-Meem Textiles Ltd."/>
    <x v="0"/>
    <s v="MD"/>
    <m/>
    <n v="1"/>
  </r>
  <r>
    <n v="21"/>
    <x v="0"/>
    <x v="0"/>
    <n v="50901"/>
    <s v="Md. Oliullah "/>
    <x v="9"/>
    <x v="2"/>
    <x v="4"/>
    <s v="Assistant General Manager, Human Resources"/>
    <d v="2023-01-01T00:00:00"/>
    <n v="65000"/>
    <m/>
    <s v="Bright Wash Ltd."/>
    <x v="2"/>
    <s v="MD"/>
    <m/>
    <n v="1"/>
  </r>
  <r>
    <n v="22"/>
    <x v="0"/>
    <x v="0"/>
    <n v="50903"/>
    <s v="Sk. Tasrifullah"/>
    <x v="5"/>
    <x v="2"/>
    <x v="2"/>
    <s v="Deputy General Manager, Human Resources"/>
    <d v="2023-01-01T00:00:00"/>
    <n v="23000"/>
    <m/>
    <s v="Creative Collection Ltd."/>
    <x v="3"/>
    <s v="MD"/>
    <m/>
    <n v="1"/>
  </r>
  <r>
    <n v="23"/>
    <x v="0"/>
    <x v="0"/>
    <n v="50902"/>
    <s v="Mostafizur Rahman"/>
    <x v="5"/>
    <x v="2"/>
    <x v="5"/>
    <s v="Executive Director, Admin"/>
    <d v="2023-01-01T00:00:00"/>
    <n v="23000"/>
    <m/>
    <s v="That's Information Technology Fashion Ltd."/>
    <x v="0"/>
    <s v="MD"/>
    <m/>
    <n v="1"/>
  </r>
  <r>
    <n v="24"/>
    <x v="0"/>
    <x v="0"/>
    <n v="51186"/>
    <s v="Md. Nazrul Islam"/>
    <x v="10"/>
    <x v="2"/>
    <x v="4"/>
    <s v="Assistant General Manager, Human Resources"/>
    <d v="2023-01-16T00:00:00"/>
    <n v="32000"/>
    <m/>
    <s v="Refat Garments Ltd."/>
    <x v="3"/>
    <s v="MD"/>
    <m/>
    <n v="1"/>
  </r>
  <r>
    <n v="25"/>
    <x v="0"/>
    <x v="0"/>
    <n v="51192"/>
    <s v="Md. Alauddin"/>
    <x v="6"/>
    <x v="3"/>
    <x v="1"/>
    <s v="Deputy General Manager, Admin"/>
    <d v="2023-01-16T00:00:00"/>
    <n v="12000"/>
    <m/>
    <s v="Ha-Meem Textiles Ltd."/>
    <x v="2"/>
    <s v="MD"/>
    <m/>
    <n v="1"/>
  </r>
  <r>
    <n v="26"/>
    <x v="0"/>
    <x v="0"/>
    <n v="50898"/>
    <s v="Najat Ali"/>
    <x v="9"/>
    <x v="5"/>
    <x v="6"/>
    <s v="General Manager, LHTE"/>
    <d v="2023-01-01T00:00:00"/>
    <n v="40000"/>
    <m/>
    <s v="Sylhet Planters Ltd."/>
    <x v="0"/>
    <s v="MD"/>
    <m/>
    <n v="1"/>
  </r>
  <r>
    <n v="27"/>
    <x v="0"/>
    <x v="0"/>
    <n v="50904"/>
    <s v="Mahamud Hasan Prince"/>
    <x v="11"/>
    <x v="5"/>
    <x v="6"/>
    <s v="General Manager, LHTE"/>
    <d v="2023-01-07T00:00:00"/>
    <n v="70000"/>
    <m/>
    <s v="Sylhet Planters Ltd."/>
    <x v="3"/>
    <s v="MD"/>
    <m/>
    <n v="1"/>
  </r>
  <r>
    <n v="28"/>
    <x v="0"/>
    <x v="0"/>
    <n v="51014"/>
    <s v="Firuz Ahammed"/>
    <x v="12"/>
    <x v="6"/>
    <x v="2"/>
    <s v="General Manager, Merchandising"/>
    <d v="2023-01-04T00:00:00"/>
    <n v="60000"/>
    <m/>
    <s v="Creative Collection Ltd."/>
    <x v="3"/>
    <s v="MD"/>
    <m/>
    <n v="1"/>
  </r>
  <r>
    <n v="29"/>
    <x v="0"/>
    <x v="0"/>
    <n v="51088"/>
    <s v="Moshiur Rahman"/>
    <x v="13"/>
    <x v="6"/>
    <x v="2"/>
    <s v="General Manager, Merchandising"/>
    <d v="2023-01-08T00:00:00"/>
    <n v="35000"/>
    <m/>
    <s v="Creative Collection Ltd."/>
    <x v="3"/>
    <s v="MD"/>
    <m/>
    <n v="1"/>
  </r>
  <r>
    <n v="30"/>
    <x v="0"/>
    <x v="0"/>
    <n v="51087"/>
    <s v="Md. Imran Hossain"/>
    <x v="13"/>
    <x v="6"/>
    <x v="2"/>
    <s v="General Manager, Merchandising"/>
    <d v="2023-01-08T00:00:00"/>
    <n v="25000"/>
    <m/>
    <s v="Creative Collection Ltd."/>
    <x v="3"/>
    <s v="MD"/>
    <m/>
    <n v="1"/>
  </r>
  <r>
    <n v="31"/>
    <x v="0"/>
    <x v="0"/>
    <n v="51281"/>
    <s v="Md. Tanvir Hasan"/>
    <x v="12"/>
    <x v="6"/>
    <x v="2"/>
    <s v="General Manager, Merchandising"/>
    <d v="2023-01-12T00:00:00"/>
    <n v="50000"/>
    <m/>
    <s v="Creative Collection Ltd."/>
    <x v="3"/>
    <s v="MD"/>
    <m/>
    <n v="1"/>
  </r>
  <r>
    <n v="32"/>
    <x v="0"/>
    <x v="0"/>
    <n v="51284"/>
    <s v="Md. Toukir Ahammed"/>
    <x v="13"/>
    <x v="6"/>
    <x v="2"/>
    <s v="General Manager, Merchandising"/>
    <d v="2023-01-12T00:00:00"/>
    <n v="35000"/>
    <m/>
    <s v="Creative Collection Ltd."/>
    <x v="3"/>
    <s v="MD"/>
    <m/>
    <n v="1"/>
  </r>
  <r>
    <n v="33"/>
    <x v="0"/>
    <x v="0"/>
    <n v="51199"/>
    <s v="Md. Tasnimul Islam Efte"/>
    <x v="14"/>
    <x v="7"/>
    <x v="1"/>
    <s v="Sr. General Manager, Sales &amp; Marketing"/>
    <d v="2023-01-16T00:00:00"/>
    <n v="22000"/>
    <m/>
    <s v="Ha-Meem Textiles Ltd."/>
    <x v="3"/>
    <s v="MD"/>
    <m/>
    <n v="1"/>
  </r>
  <r>
    <n v="34"/>
    <x v="0"/>
    <x v="0"/>
    <n v="50893"/>
    <s v="Md. Shakil Ahmed"/>
    <x v="15"/>
    <x v="3"/>
    <x v="6"/>
    <s v="Deputy General Manager, Admin"/>
    <d v="2023-01-01T00:00:00"/>
    <n v="10775"/>
    <m/>
    <s v="Sylhet Planters Ltd."/>
    <x v="3"/>
    <s v="MD"/>
    <m/>
    <n v="1"/>
  </r>
  <r>
    <n v="35"/>
    <x v="0"/>
    <x v="0"/>
    <n v="50894"/>
    <s v="Md. Rony Ahmod"/>
    <x v="15"/>
    <x v="3"/>
    <x v="6"/>
    <s v="Deputy General Manager, Admin"/>
    <d v="2023-01-01T00:00:00"/>
    <n v="10775"/>
    <m/>
    <s v="Sylhet Planters Ltd."/>
    <x v="3"/>
    <s v="MD"/>
    <m/>
    <n v="1"/>
  </r>
  <r>
    <n v="36"/>
    <x v="0"/>
    <x v="0"/>
    <n v="50897"/>
    <s v="Md. Foysal Ahmed"/>
    <x v="16"/>
    <x v="3"/>
    <x v="1"/>
    <s v="Deputy General Manager, Admin"/>
    <d v="2023-01-01T00:00:00"/>
    <n v="10775"/>
    <m/>
    <s v="Artistic Design Ltd."/>
    <x v="3"/>
    <s v="MD"/>
    <m/>
    <n v="1"/>
  </r>
  <r>
    <n v="37"/>
    <x v="0"/>
    <x v="0"/>
    <n v="50896"/>
    <s v="Md. Abu Zehad"/>
    <x v="16"/>
    <x v="3"/>
    <x v="1"/>
    <s v="Deputy General Manager, Admin"/>
    <d v="2023-01-01T00:00:00"/>
    <n v="10775"/>
    <m/>
    <s v="Refat Garments Ltd."/>
    <x v="3"/>
    <s v="MD"/>
    <m/>
    <n v="1"/>
  </r>
  <r>
    <n v="38"/>
    <x v="0"/>
    <x v="0"/>
    <n v="50895"/>
    <s v="Md. Anisur Rahaman Anis"/>
    <x v="16"/>
    <x v="3"/>
    <x v="1"/>
    <s v="Deputy General Manager, Admin"/>
    <d v="2023-01-01T00:00:00"/>
    <n v="10775"/>
    <m/>
    <s v="Refat Garments Ltd."/>
    <x v="3"/>
    <s v="MD"/>
    <m/>
    <n v="1"/>
  </r>
  <r>
    <n v="39"/>
    <x v="0"/>
    <x v="0"/>
    <n v="51191"/>
    <s v="Md. Raihan Udden"/>
    <x v="15"/>
    <x v="3"/>
    <x v="1"/>
    <s v="Deputy General Manager, Admin"/>
    <d v="2023-01-16T00:00:00"/>
    <n v="10775"/>
    <m/>
    <s v="Refat Garments Ltd."/>
    <x v="3"/>
    <s v="MD"/>
    <m/>
    <n v="1"/>
  </r>
  <r>
    <n v="40"/>
    <x v="0"/>
    <x v="0"/>
    <n v="50983"/>
    <s v="Md. Juwel Sheikh"/>
    <x v="17"/>
    <x v="3"/>
    <x v="1"/>
    <s v="Officer, Admin"/>
    <d v="2022-12-08T00:00:00"/>
    <n v="14000"/>
    <m/>
    <s v="Artistic Design Ltd."/>
    <x v="0"/>
    <s v="MD"/>
    <m/>
    <n v="1"/>
  </r>
  <r>
    <n v="41"/>
    <x v="0"/>
    <x v="0"/>
    <n v="50982"/>
    <s v="Md. Jafor Sadik"/>
    <x v="18"/>
    <x v="3"/>
    <x v="1"/>
    <s v="Officer, Admin"/>
    <d v="2022-12-12T00:00:00"/>
    <n v="8500"/>
    <m/>
    <s v="Artistic Design Ltd."/>
    <x v="3"/>
    <s v="MD"/>
    <m/>
    <n v="1"/>
  </r>
  <r>
    <n v="42"/>
    <x v="0"/>
    <x v="0"/>
    <n v="51291"/>
    <s v="Mohammad Mizanur Rahman"/>
    <x v="19"/>
    <x v="8"/>
    <x v="2"/>
    <s v="General Manager, Finance &amp; Accounts"/>
    <d v="2023-01-16T00:00:00"/>
    <n v="170000"/>
    <m/>
    <s v="Creative Collection Ltd."/>
    <x v="2"/>
    <s v="MD"/>
    <m/>
    <n v="1"/>
  </r>
  <r>
    <n v="43"/>
    <x v="0"/>
    <x v="1"/>
    <n v="51514"/>
    <s v="Md. Sheikh Sadi"/>
    <x v="20"/>
    <x v="3"/>
    <x v="7"/>
    <s v="Deputy General Manager, Admin"/>
    <d v="2023-01-15T00:00:00"/>
    <n v="9000"/>
    <m/>
    <s v="Creative Collection Ltd."/>
    <x v="1"/>
    <s v="MD"/>
    <m/>
    <n v="1"/>
  </r>
  <r>
    <n v="44"/>
    <x v="0"/>
    <x v="1"/>
    <n v="51368"/>
    <s v="Md. Moddassar Hosan"/>
    <x v="21"/>
    <x v="3"/>
    <x v="1"/>
    <s v="Deputy General Manager, Admin"/>
    <d v="2023-02-01T00:00:00"/>
    <n v="14000"/>
    <m/>
    <s v="Next Collection Ltd."/>
    <x v="0"/>
    <s v="MD"/>
    <m/>
    <n v="1"/>
  </r>
  <r>
    <n v="45"/>
    <x v="0"/>
    <x v="1"/>
    <n v="51577"/>
    <s v="Kamrul Hasan"/>
    <x v="0"/>
    <x v="3"/>
    <x v="3"/>
    <s v="Executive Director, DSW"/>
    <d v="2023-02-07T00:00:00"/>
    <n v="200000"/>
    <m/>
    <s v="Ha-Meem Denim Ltd."/>
    <x v="3"/>
    <s v="MD"/>
    <m/>
    <n v="1"/>
  </r>
  <r>
    <n v="46"/>
    <x v="0"/>
    <x v="1"/>
    <n v="51910"/>
    <s v="Alamgir Khaled"/>
    <x v="4"/>
    <x v="4"/>
    <x v="1"/>
    <s v="Assistant General Manager, Commercial"/>
    <d v="2023-02-15T00:00:00"/>
    <n v="27000"/>
    <m/>
    <s v="Refat Garments Ltd."/>
    <x v="2"/>
    <s v="MD"/>
    <m/>
    <n v="1"/>
  </r>
  <r>
    <n v="47"/>
    <x v="0"/>
    <x v="1"/>
    <n v="51901"/>
    <s v="Md. Ripon Ali"/>
    <x v="4"/>
    <x v="4"/>
    <x v="1"/>
    <s v="Assistant General Manager, Commercial"/>
    <d v="2023-02-15T00:00:00"/>
    <n v="27000"/>
    <m/>
    <s v="Refat Garments Ltd."/>
    <x v="2"/>
    <s v="MD"/>
    <m/>
    <n v="1"/>
  </r>
  <r>
    <n v="48"/>
    <x v="0"/>
    <x v="1"/>
    <n v="51914"/>
    <s v="Ashim Biswas"/>
    <x v="4"/>
    <x v="4"/>
    <x v="1"/>
    <s v="Assistant General Manager, Commercial"/>
    <d v="2023-02-15T00:00:00"/>
    <n v="22000"/>
    <m/>
    <s v="Refat Garments Ltd."/>
    <x v="2"/>
    <s v="MD"/>
    <m/>
    <n v="1"/>
  </r>
  <r>
    <n v="49"/>
    <x v="0"/>
    <x v="1"/>
    <n v="51905"/>
    <s v="Md. Abdulla"/>
    <x v="4"/>
    <x v="4"/>
    <x v="1"/>
    <s v="Assistant General Manager, Commercial"/>
    <d v="2023-02-15T00:00:00"/>
    <n v="15000"/>
    <m/>
    <s v="Refat Garments Ltd."/>
    <x v="2"/>
    <s v="MD"/>
    <m/>
    <n v="1"/>
  </r>
  <r>
    <n v="50"/>
    <x v="0"/>
    <x v="1"/>
    <n v="51346"/>
    <s v="Shafiqul Islam"/>
    <x v="22"/>
    <x v="9"/>
    <x v="2"/>
    <s v="Assistant General Manager, Engineering"/>
    <d v="2023-02-01T00:00:00"/>
    <n v="67000"/>
    <m/>
    <s v="Casual Garments Ltd."/>
    <x v="3"/>
    <s v="MD"/>
    <m/>
    <n v="1"/>
  </r>
  <r>
    <n v="51"/>
    <x v="0"/>
    <x v="1"/>
    <n v="51333"/>
    <s v="Md. Masum "/>
    <x v="23"/>
    <x v="9"/>
    <x v="2"/>
    <s v="Assistant General Manager, Engineering"/>
    <d v="2023-02-01T00:00:00"/>
    <n v="22000"/>
    <m/>
    <s v="Creative Collection Ltd."/>
    <x v="0"/>
    <s v="MD"/>
    <m/>
    <n v="1"/>
  </r>
  <r>
    <n v="52"/>
    <x v="0"/>
    <x v="1"/>
    <n v="51338"/>
    <s v="Md. Rafy Uddin Shanto"/>
    <x v="23"/>
    <x v="9"/>
    <x v="0"/>
    <s v="General Manager, Engineering"/>
    <d v="2023-02-01T00:00:00"/>
    <n v="21000"/>
    <m/>
    <s v="Express Washing &amp; Dyeing Ltd."/>
    <x v="0"/>
    <s v="MD"/>
    <m/>
    <n v="1"/>
  </r>
  <r>
    <n v="53"/>
    <x v="0"/>
    <x v="1"/>
    <n v="51349"/>
    <s v="Gourob Saha"/>
    <x v="23"/>
    <x v="9"/>
    <x v="0"/>
    <s v="General Manager, Engineering"/>
    <d v="2023-02-01T00:00:00"/>
    <n v="21000"/>
    <m/>
    <s v="Artistic Design Ltd."/>
    <x v="0"/>
    <s v="MD"/>
    <m/>
    <n v="1"/>
  </r>
  <r>
    <n v="54"/>
    <x v="0"/>
    <x v="1"/>
    <n v="51336"/>
    <s v="Most Tania Sultana"/>
    <x v="23"/>
    <x v="9"/>
    <x v="0"/>
    <s v="General Manager, Engineering"/>
    <d v="2023-02-01T00:00:00"/>
    <n v="22000"/>
    <m/>
    <s v="That's It Sports Wear Ltd."/>
    <x v="0"/>
    <s v="MD"/>
    <m/>
    <n v="1"/>
  </r>
  <r>
    <n v="55"/>
    <x v="0"/>
    <x v="1"/>
    <n v="51344"/>
    <s v="Md. Kamrul Ahsan"/>
    <x v="19"/>
    <x v="8"/>
    <x v="1"/>
    <s v="Executive Director, Finance &amp; Accounts"/>
    <d v="2023-02-01T00:00:00"/>
    <n v="195000"/>
    <m/>
    <s v="Refat Garments Ltd."/>
    <x v="0"/>
    <s v="MD"/>
    <m/>
    <n v="1"/>
  </r>
  <r>
    <n v="56"/>
    <x v="0"/>
    <x v="1"/>
    <n v="51373"/>
    <s v="Mohammad Lutfor Rahman"/>
    <x v="24"/>
    <x v="8"/>
    <x v="1"/>
    <s v="Executive Director, Finance &amp; Accounts"/>
    <d v="2023-02-01T00:00:00"/>
    <n v="195000"/>
    <m/>
    <s v="Refat Garments Ltd."/>
    <x v="3"/>
    <s v="MD"/>
    <m/>
    <n v="1"/>
  </r>
  <r>
    <n v="57"/>
    <x v="0"/>
    <x v="1"/>
    <n v="51909"/>
    <s v="Md. Monirul Islam Newton"/>
    <x v="24"/>
    <x v="8"/>
    <x v="1"/>
    <s v="Executive Director, Finance &amp; Accounts"/>
    <d v="2023-02-15T00:00:00"/>
    <n v="200000"/>
    <m/>
    <s v="That's It Sports Wear Ltd."/>
    <x v="3"/>
    <s v="MD"/>
    <m/>
    <n v="1"/>
  </r>
  <r>
    <n v="58"/>
    <x v="0"/>
    <x v="1"/>
    <n v="51372"/>
    <s v="Jinnat Afrin"/>
    <x v="5"/>
    <x v="2"/>
    <x v="1"/>
    <s v="General Manager, Human Resources"/>
    <d v="2023-02-01T00:00:00"/>
    <n v="20000"/>
    <m/>
    <s v="Refat Garments Ltd."/>
    <x v="0"/>
    <s v="MD"/>
    <m/>
    <n v="1"/>
  </r>
  <r>
    <n v="59"/>
    <x v="0"/>
    <x v="1"/>
    <n v="51916"/>
    <s v="Taif Bin Islam"/>
    <x v="5"/>
    <x v="2"/>
    <x v="1"/>
    <s v="General Manager, Human Resources"/>
    <d v="2023-02-15T00:00:00"/>
    <n v="24000"/>
    <m/>
    <s v="Creative Collection Ltd."/>
    <x v="3"/>
    <s v="MD"/>
    <m/>
    <n v="1"/>
  </r>
  <r>
    <n v="60"/>
    <x v="0"/>
    <x v="1"/>
    <n v="51906"/>
    <s v="Dewan Rafatul Rohan"/>
    <x v="5"/>
    <x v="2"/>
    <x v="1"/>
    <s v="General Manager, Human Resources"/>
    <d v="2023-02-15T00:00:00"/>
    <n v="28000"/>
    <m/>
    <s v="Creative Collection Ltd."/>
    <x v="0"/>
    <s v="MD"/>
    <m/>
    <n v="1"/>
  </r>
  <r>
    <n v="61"/>
    <x v="0"/>
    <x v="1"/>
    <n v="51770"/>
    <s v="S. M. Sultan Ahmed"/>
    <x v="25"/>
    <x v="6"/>
    <x v="2"/>
    <s v="General Manager, Merchandising"/>
    <d v="2023-02-09T00:00:00"/>
    <n v="67000"/>
    <m/>
    <s v="Creative Collection Ltd."/>
    <x v="3"/>
    <s v="MD"/>
    <m/>
    <n v="1"/>
  </r>
  <r>
    <n v="62"/>
    <x v="0"/>
    <x v="1"/>
    <n v="51307"/>
    <s v="Md. Zahid Hossain"/>
    <x v="12"/>
    <x v="6"/>
    <x v="1"/>
    <s v="Assistant General Manager, Merchandising"/>
    <d v="2023-01-25T00:00:00"/>
    <n v="70000"/>
    <m/>
    <s v="Apparel Gallery Ltd."/>
    <x v="3"/>
    <s v="MD"/>
    <m/>
    <n v="1"/>
  </r>
  <r>
    <n v="63"/>
    <x v="0"/>
    <x v="1"/>
    <n v="51626"/>
    <s v="Md. Rakibul Alom"/>
    <x v="26"/>
    <x v="6"/>
    <x v="2"/>
    <s v="Deputy General Manager, Merchandising"/>
    <d v="2023-02-07T00:00:00"/>
    <n v="20000"/>
    <m/>
    <s v="Creative Collection Ltd."/>
    <x v="3"/>
    <s v="Director"/>
    <m/>
    <n v="1"/>
  </r>
  <r>
    <n v="64"/>
    <x v="0"/>
    <x v="1"/>
    <n v="51410"/>
    <s v="Samiul Islam Siam"/>
    <x v="26"/>
    <x v="6"/>
    <x v="2"/>
    <s v="Deputy General Manager, Merchandising"/>
    <d v="2023-02-01T00:00:00"/>
    <n v="20000"/>
    <m/>
    <s v="Creative Collection Ltd."/>
    <x v="3"/>
    <s v="Director"/>
    <m/>
    <n v="1"/>
  </r>
  <r>
    <n v="65"/>
    <x v="0"/>
    <x v="1"/>
    <n v="52058"/>
    <s v="M Zillur Raihan Bhuiyan"/>
    <x v="12"/>
    <x v="6"/>
    <x v="2"/>
    <s v="Deputy General Manager, Merchandising"/>
    <d v="2023-02-20T00:00:00"/>
    <n v="55000"/>
    <m/>
    <s v="Creative Collection Ltd."/>
    <x v="3"/>
    <s v="Director"/>
    <m/>
    <n v="1"/>
  </r>
  <r>
    <n v="66"/>
    <x v="0"/>
    <x v="1"/>
    <n v="51920"/>
    <s v="Zahairul Haque"/>
    <x v="5"/>
    <x v="10"/>
    <x v="1"/>
    <s v="Assistant Manager, Accessories Procurement"/>
    <d v="2023-02-15T00:00:00"/>
    <n v="32000"/>
    <m/>
    <s v="Next Collection Ltd."/>
    <x v="3"/>
    <s v="MD"/>
    <m/>
    <n v="1"/>
  </r>
  <r>
    <n v="67"/>
    <x v="0"/>
    <x v="1"/>
    <n v="51335"/>
    <s v="Khaled Akter Maya"/>
    <x v="5"/>
    <x v="10"/>
    <x v="1"/>
    <s v="Assistant General Manager, Procurement &amp; Development"/>
    <d v="2023-02-01T00:00:00"/>
    <n v="35000"/>
    <m/>
    <s v="Refat Garments Ltd."/>
    <x v="3"/>
    <s v="MD"/>
    <m/>
    <n v="1"/>
  </r>
  <r>
    <n v="68"/>
    <x v="0"/>
    <x v="1"/>
    <n v="51371"/>
    <s v="Udoy Chand Pandit"/>
    <x v="5"/>
    <x v="10"/>
    <x v="1"/>
    <s v="Assistant General Manager, Procurement &amp; Development"/>
    <d v="2023-02-01T00:00:00"/>
    <n v="30000"/>
    <m/>
    <s v="Artistic Design Ltd."/>
    <x v="3"/>
    <s v="MD"/>
    <m/>
    <n v="1"/>
  </r>
  <r>
    <n v="69"/>
    <x v="0"/>
    <x v="1"/>
    <n v="51350"/>
    <s v="Md. Motahasin Takib"/>
    <x v="5"/>
    <x v="10"/>
    <x v="1"/>
    <s v="Deputy General Manager, Procurement &amp; Development"/>
    <d v="2023-02-01T00:00:00"/>
    <n v="25000"/>
    <m/>
    <s v="Creative Collection Ltd."/>
    <x v="0"/>
    <s v="MD"/>
    <m/>
    <n v="1"/>
  </r>
  <r>
    <n v="70"/>
    <x v="0"/>
    <x v="1"/>
    <n v="51501"/>
    <s v="Reggie Peter Sebastian"/>
    <x v="0"/>
    <x v="1"/>
    <x v="0"/>
    <s v="Director"/>
    <d v="2023-02-05T00:00:00"/>
    <m/>
    <n v="3000"/>
    <s v="That's It Sports Wear Ltd."/>
    <x v="1"/>
    <s v="MD"/>
    <m/>
    <n v="1"/>
  </r>
  <r>
    <n v="71"/>
    <x v="0"/>
    <x v="1"/>
    <n v="51375"/>
    <s v="Zafreed Iqbal"/>
    <x v="5"/>
    <x v="7"/>
    <x v="1"/>
    <s v="Senior General Manager, Sales &amp; Marketing"/>
    <d v="2023-02-01T00:00:00"/>
    <n v="25000"/>
    <m/>
    <s v="Ha-Meem Textiles Ltd."/>
    <x v="0"/>
    <s v="MD"/>
    <m/>
    <n v="1"/>
  </r>
  <r>
    <n v="72"/>
    <x v="0"/>
    <x v="1"/>
    <n v="51334"/>
    <s v="Salman Samir"/>
    <x v="15"/>
    <x v="3"/>
    <x v="1"/>
    <s v="Deputy General Manager, Admin"/>
    <d v="2023-02-01T00:00:00"/>
    <n v="10775"/>
    <m/>
    <s v="Creative Collection Ltd."/>
    <x v="3"/>
    <s v="MD"/>
    <m/>
    <n v="1"/>
  </r>
  <r>
    <n v="73"/>
    <x v="0"/>
    <x v="1"/>
    <n v="51918"/>
    <s v="Md. Mostafizur Rahman"/>
    <x v="5"/>
    <x v="3"/>
    <x v="1"/>
    <s v="Deputy General Manager, Admin"/>
    <d v="2023-02-15T00:00:00"/>
    <n v="25000"/>
    <m/>
    <s v="Refat Garments Ltd."/>
    <x v="3"/>
    <s v="MD"/>
    <m/>
    <n v="1"/>
  </r>
  <r>
    <n v="74"/>
    <x v="0"/>
    <x v="1"/>
    <n v="51903"/>
    <s v="Olle Ullah Ahammed"/>
    <x v="15"/>
    <x v="3"/>
    <x v="1"/>
    <s v="Deputy General Manager, Admin"/>
    <d v="2023-02-15T00:00:00"/>
    <n v="10775"/>
    <m/>
    <s v="Refat Garments Ltd."/>
    <x v="0"/>
    <s v="MD"/>
    <m/>
    <n v="1"/>
  </r>
  <r>
    <n v="75"/>
    <x v="0"/>
    <x v="1"/>
    <n v="51913"/>
    <s v="Md. Faruque Chowdhury"/>
    <x v="0"/>
    <x v="11"/>
    <x v="6"/>
    <s v="Managing Director"/>
    <d v="2023-02-15T00:00:00"/>
    <n v="250000"/>
    <m/>
    <s v="Sylhet Planters Ltd."/>
    <x v="1"/>
    <s v="MD"/>
    <m/>
    <n v="1"/>
  </r>
  <r>
    <n v="76"/>
    <x v="0"/>
    <x v="2"/>
    <n v="52101"/>
    <s v="Ajouwad Khandoker"/>
    <x v="27"/>
    <x v="8"/>
    <x v="1"/>
    <s v="DMD, SPM"/>
    <d v="2023-03-01T00:00:00"/>
    <n v="30000"/>
    <m/>
    <s v="That's It Sports Wear Ltd."/>
    <x v="2"/>
    <s v="MD"/>
    <m/>
    <n v="1"/>
  </r>
  <r>
    <n v="77"/>
    <x v="0"/>
    <x v="2"/>
    <n v="52100"/>
    <s v="Md. Farhad Islam"/>
    <x v="3"/>
    <x v="8"/>
    <x v="1"/>
    <s v="Assistant General Manager, ERP"/>
    <d v="2023-03-01T00:00:00"/>
    <n v="105000"/>
    <m/>
    <s v="Ha-Meem Denim Ltd."/>
    <x v="2"/>
    <s v="MD"/>
    <m/>
    <n v="1"/>
  </r>
  <r>
    <n v="78"/>
    <x v="0"/>
    <x v="2"/>
    <n v="52813"/>
    <s v="Mizanur Rahaman"/>
    <x v="9"/>
    <x v="8"/>
    <x v="1"/>
    <s v="Assistant General Manager, ERP"/>
    <d v="2023-03-15T00:00:00"/>
    <n v="80000"/>
    <m/>
    <s v="Ha-Meem Denim Ltd."/>
    <x v="2"/>
    <s v="MD"/>
    <m/>
    <n v="1"/>
  </r>
  <r>
    <n v="79"/>
    <x v="0"/>
    <x v="2"/>
    <n v="52814"/>
    <s v="Saidur Rahman"/>
    <x v="5"/>
    <x v="8"/>
    <x v="1"/>
    <s v="General Manager, Finance &amp; Accounts"/>
    <d v="2023-03-15T00:00:00"/>
    <n v="24000"/>
    <m/>
    <s v="Refat Garments Ltd."/>
    <x v="2"/>
    <s v="MD"/>
    <m/>
    <n v="1"/>
  </r>
  <r>
    <n v="80"/>
    <x v="0"/>
    <x v="2"/>
    <n v="52109"/>
    <s v="Md. Haseful Hassan"/>
    <x v="9"/>
    <x v="2"/>
    <x v="4"/>
    <s v="General Manager, Human Resources"/>
    <d v="2023-03-01T00:00:00"/>
    <n v="60000"/>
    <m/>
    <s v="Refat Garments Ltd."/>
    <x v="0"/>
    <s v="MD"/>
    <m/>
    <n v="1"/>
  </r>
  <r>
    <n v="81"/>
    <x v="0"/>
    <x v="2"/>
    <n v="52097"/>
    <s v="Enamul Haque"/>
    <x v="3"/>
    <x v="2"/>
    <x v="8"/>
    <s v="Executive Director, Admin"/>
    <d v="2023-03-01T00:00:00"/>
    <n v="65000"/>
    <m/>
    <s v="That's It Ltd."/>
    <x v="3"/>
    <s v="MD"/>
    <m/>
    <n v="1"/>
  </r>
  <r>
    <n v="82"/>
    <x v="0"/>
    <x v="2"/>
    <n v="52405"/>
    <s v="Md. Sohag Rana"/>
    <x v="25"/>
    <x v="6"/>
    <x v="2"/>
    <s v="Deputy General Manager, Merchandising"/>
    <d v="2023-03-05T00:00:00"/>
    <n v="65000"/>
    <m/>
    <s v="Creative Collection Ltd."/>
    <x v="3"/>
    <s v="Director"/>
    <m/>
    <n v="1"/>
  </r>
  <r>
    <n v="83"/>
    <x v="0"/>
    <x v="2"/>
    <n v="52818"/>
    <s v="Md. Zamil Hasan Talukder"/>
    <x v="26"/>
    <x v="6"/>
    <x v="1"/>
    <s v="Assistant General Manager, Merchandising"/>
    <d v="2023-03-15T00:00:00"/>
    <n v="20000"/>
    <m/>
    <s v="Creative Collection Ltd."/>
    <x v="2"/>
    <s v="MD"/>
    <m/>
    <n v="1"/>
  </r>
  <r>
    <n v="84"/>
    <x v="0"/>
    <x v="2"/>
    <n v="52128"/>
    <s v="Nazmul Hossain"/>
    <x v="26"/>
    <x v="6"/>
    <x v="1"/>
    <s v="Assistant General Manager, Merchandisng"/>
    <d v="2023-03-01T00:00:00"/>
    <n v="20000"/>
    <m/>
    <s v="Artistic Design Ltd."/>
    <x v="3"/>
    <s v="Group DMD"/>
    <m/>
    <n v="1"/>
  </r>
  <r>
    <n v="85"/>
    <x v="0"/>
    <x v="2"/>
    <n v="52102"/>
    <s v="Md. Anwar Hossain"/>
    <x v="9"/>
    <x v="12"/>
    <x v="1"/>
    <s v="Assistant General Manager, ERP"/>
    <d v="2023-03-01T00:00:00"/>
    <n v="70000"/>
    <m/>
    <s v="Creative Collection Ltd."/>
    <x v="2"/>
    <s v="MD"/>
    <m/>
    <n v="1"/>
  </r>
  <r>
    <n v="86"/>
    <x v="0"/>
    <x v="2"/>
    <n v="52819"/>
    <s v="Md. Aminul Islam"/>
    <x v="0"/>
    <x v="0"/>
    <x v="9"/>
    <s v="Executive Director, PPC"/>
    <d v="2023-03-15T00:00:00"/>
    <n v="250000"/>
    <m/>
    <s v="Explore Garments Ltd."/>
    <x v="2"/>
    <s v="MD"/>
    <m/>
    <n v="1"/>
  </r>
  <r>
    <n v="87"/>
    <x v="0"/>
    <x v="2"/>
    <n v="52087"/>
    <s v="Jagath Srinath Wickramarachchi"/>
    <x v="0"/>
    <x v="1"/>
    <x v="2"/>
    <s v="Director"/>
    <d v="2023-02-27T00:00:00"/>
    <m/>
    <n v="5000"/>
    <s v="Creative Collection Ltd."/>
    <x v="1"/>
    <s v="MD"/>
    <m/>
    <n v="1"/>
  </r>
  <r>
    <n v="88"/>
    <x v="0"/>
    <x v="2"/>
    <n v="52808"/>
    <s v="Mohammad Shamim Taloukder"/>
    <x v="28"/>
    <x v="3"/>
    <x v="1"/>
    <s v="Deputy General Manager, Admin"/>
    <d v="2023-03-15T00:00:00"/>
    <n v="20000"/>
    <m/>
    <s v="Refat Garments Ltd."/>
    <x v="0"/>
    <s v="MD"/>
    <m/>
    <n v="1"/>
  </r>
  <r>
    <n v="89"/>
    <x v="0"/>
    <x v="2"/>
    <n v="52086"/>
    <s v="Nihal Rathnayake"/>
    <x v="0"/>
    <x v="0"/>
    <x v="0"/>
    <s v="Group DMD"/>
    <d v="2023-02-26T00:00:00"/>
    <m/>
    <n v="4000"/>
    <s v="That's It Sports Wear Ltd."/>
    <x v="1"/>
    <s v="MD"/>
    <m/>
    <n v="1"/>
  </r>
  <r>
    <n v="90"/>
    <x v="0"/>
    <x v="2"/>
    <n v="52068"/>
    <s v="Md. Sohel Rana"/>
    <x v="17"/>
    <x v="3"/>
    <x v="1"/>
    <s v="Deputy General Manager, Admin"/>
    <d v="2023-03-01T00:00:00"/>
    <n v="15000"/>
    <m/>
    <s v="That's It Sports Wear Ltd."/>
    <x v="0"/>
    <s v="MD"/>
    <m/>
    <n v="1"/>
  </r>
  <r>
    <n v="91"/>
    <x v="0"/>
    <x v="2"/>
    <n v="52809"/>
    <s v="Kamruzzaman"/>
    <x v="17"/>
    <x v="3"/>
    <x v="1"/>
    <s v="Deputy General Manager, Admin"/>
    <d v="2023-03-15T00:00:00"/>
    <n v="18000"/>
    <m/>
    <s v="Refat Garments Ltd."/>
    <x v="0"/>
    <s v="MD"/>
    <m/>
    <n v="1"/>
  </r>
  <r>
    <n v="92"/>
    <x v="0"/>
    <x v="2"/>
    <s v="A1000"/>
    <s v="Md. Miraz Khan"/>
    <x v="26"/>
    <x v="6"/>
    <x v="2"/>
    <s v="General Manager"/>
    <d v="2023-03-16T00:00:00"/>
    <n v="20000"/>
    <m/>
    <s v="Creative Collection Ltd."/>
    <x v="3"/>
    <s v="Director"/>
    <m/>
    <n v="1"/>
  </r>
  <r>
    <n v="93"/>
    <x v="0"/>
    <x v="2"/>
    <s v="A4000"/>
    <s v="Tushar Paul"/>
    <x v="29"/>
    <x v="13"/>
    <x v="2"/>
    <s v="Assistant Manager"/>
    <d v="2023-03-16T00:00:00"/>
    <n v="55000"/>
    <m/>
    <s v="Creative Collection Ltd."/>
    <x v="3"/>
    <s v="Director"/>
    <m/>
    <n v="1"/>
  </r>
  <r>
    <n v="94"/>
    <x v="0"/>
    <x v="2"/>
    <s v="A4000"/>
    <s v="Sumith Nandana Jayasuriya Mudalige"/>
    <x v="0"/>
    <x v="14"/>
    <x v="4"/>
    <s v="Executive Director"/>
    <d v="2023-03-18T00:00:00"/>
    <m/>
    <n v="3500"/>
    <s v="Bright Wash Ltd."/>
    <x v="1"/>
    <m/>
    <m/>
    <n v="1"/>
  </r>
  <r>
    <n v="95"/>
    <x v="0"/>
    <x v="2"/>
    <s v="A4002"/>
    <s v="Reza Md. Shehab Uddin Sharawardi"/>
    <x v="0"/>
    <x v="10"/>
    <x v="1"/>
    <s v="Executive Director"/>
    <m/>
    <m/>
    <n v="150000"/>
    <s v="That's It Sports Wear Ltd."/>
    <x v="3"/>
    <m/>
    <m/>
    <n v="1"/>
  </r>
  <r>
    <n v="96"/>
    <x v="0"/>
    <x v="2"/>
    <s v="A4003"/>
    <s v="Md. Feroz Kobir Prodhan"/>
    <x v="0"/>
    <x v="2"/>
    <x v="8"/>
    <s v="Director"/>
    <m/>
    <m/>
    <n v="200000"/>
    <s v="That's It Knit Ltd"/>
    <x v="3"/>
    <m/>
    <m/>
    <n v="1"/>
  </r>
  <r>
    <n v="97"/>
    <x v="0"/>
    <x v="3"/>
    <s v="053155"/>
    <s v="Muhammad Nayeem Siddique"/>
    <x v="3"/>
    <x v="3"/>
    <x v="1"/>
    <s v="Director"/>
    <d v="2023-04-01T00:00:00"/>
    <n v="68000"/>
    <m/>
    <s v="Refat Garments Ltd."/>
    <x v="2"/>
    <s v="MD"/>
    <m/>
    <n v="1"/>
  </r>
  <r>
    <n v="98"/>
    <x v="0"/>
    <x v="3"/>
    <s v="053147"/>
    <s v="Nihad Hasan"/>
    <x v="10"/>
    <x v="3"/>
    <x v="1"/>
    <s v="Director"/>
    <d v="2023-04-01T00:00:00"/>
    <n v="38000"/>
    <m/>
    <s v="Refat Garments Ltd."/>
    <x v="2"/>
    <s v="MD"/>
    <m/>
    <n v="1"/>
  </r>
  <r>
    <n v="99"/>
    <x v="0"/>
    <x v="3"/>
    <s v="053157"/>
    <s v="Md. Anwarul Islam"/>
    <x v="5"/>
    <x v="3"/>
    <x v="1"/>
    <s v="Senior Executive Director, HTZ"/>
    <d v="2023-04-01T00:00:00"/>
    <n v="30000"/>
    <m/>
    <s v="Ha-Meem Denim Ltd."/>
    <x v="3"/>
    <s v="MD"/>
    <m/>
    <n v="1"/>
  </r>
  <r>
    <n v="100"/>
    <x v="0"/>
    <x v="3"/>
    <s v="053151"/>
    <s v="Md. Sajjad Hossen"/>
    <x v="30"/>
    <x v="3"/>
    <x v="1"/>
    <s v="Deputy General Manager, Admin"/>
    <d v="2023-04-01T00:00:00"/>
    <n v="18000"/>
    <m/>
    <s v="Refat Garments Ltd."/>
    <x v="3"/>
    <s v="MD"/>
    <m/>
    <n v="1"/>
  </r>
  <r>
    <n v="101"/>
    <x v="0"/>
    <x v="3"/>
    <s v="053146"/>
    <s v="Md. Besal Ahmed"/>
    <x v="31"/>
    <x v="13"/>
    <x v="1"/>
    <s v="General Manager, Design &amp; Development"/>
    <d v="2023-04-01T00:00:00"/>
    <n v="35000"/>
    <m/>
    <s v="That's It Sports Wear Ltd."/>
    <x v="3"/>
    <s v="MD"/>
    <m/>
    <n v="1"/>
  </r>
  <r>
    <n v="102"/>
    <x v="0"/>
    <x v="3"/>
    <s v="053156"/>
    <s v="Mohammad Arif Mohiuddin"/>
    <x v="11"/>
    <x v="12"/>
    <x v="1"/>
    <s v="Assistant General Manager, ERP"/>
    <d v="2023-04-01T00:00:00"/>
    <n v="85000"/>
    <m/>
    <s v="Ha-Meem Denim Ltd."/>
    <x v="2"/>
    <s v="MD"/>
    <m/>
    <n v="1"/>
  </r>
  <r>
    <n v="103"/>
    <x v="0"/>
    <x v="3"/>
    <s v="053158"/>
    <s v="Syed Ekram Shibly"/>
    <x v="27"/>
    <x v="3"/>
    <x v="1"/>
    <s v="Director"/>
    <d v="2023-04-01T00:00:00"/>
    <n v="42000"/>
    <m/>
    <s v="Creative Collection Ltd."/>
    <x v="2"/>
    <s v="MD"/>
    <m/>
    <n v="1"/>
  </r>
  <r>
    <n v="104"/>
    <x v="0"/>
    <x v="3"/>
    <s v="053153"/>
    <s v="Md. Al Rajib Hasan Kazal"/>
    <x v="10"/>
    <x v="2"/>
    <x v="2"/>
    <s v="General Manager, Human Resources"/>
    <d v="2023-04-01T00:00:00"/>
    <n v="33000"/>
    <m/>
    <s v="Creative Collection Ltd."/>
    <x v="3"/>
    <s v="MD"/>
    <m/>
    <n v="1"/>
  </r>
  <r>
    <n v="105"/>
    <x v="0"/>
    <x v="3"/>
    <s v="053145"/>
    <s v="Md. Monayem Khan"/>
    <x v="5"/>
    <x v="2"/>
    <x v="2"/>
    <s v="Assistant General Manager, Human Resources"/>
    <d v="2023-04-01T00:00:00"/>
    <n v="30000"/>
    <m/>
    <s v="Creative Garments Ltd."/>
    <x v="3"/>
    <s v="MD"/>
    <m/>
    <n v="1"/>
  </r>
  <r>
    <n v="106"/>
    <x v="0"/>
    <x v="3"/>
    <s v="053149"/>
    <s v="Md. Safatuzzaman Chowdhury"/>
    <x v="9"/>
    <x v="2"/>
    <x v="3"/>
    <s v="Deputy General Manager, Human Resources"/>
    <d v="2023-04-01T00:00:00"/>
    <n v="55000"/>
    <m/>
    <s v="Ha-Meem Textiles Ltd."/>
    <x v="3"/>
    <s v="MD"/>
    <m/>
    <n v="1"/>
  </r>
  <r>
    <n v="107"/>
    <x v="0"/>
    <x v="3"/>
    <s v="053348"/>
    <s v="Md. Masum Bil Karim"/>
    <x v="32"/>
    <x v="2"/>
    <x v="2"/>
    <s v="General Manager, Human Resources"/>
    <d v="2023-04-12T00:00:00"/>
    <n v="130000"/>
    <m/>
    <s v="Creative Collection Ltd."/>
    <x v="3"/>
    <s v="MD"/>
    <m/>
    <n v="1"/>
  </r>
  <r>
    <n v="108"/>
    <x v="0"/>
    <x v="3"/>
    <s v="053324"/>
    <s v="Tamal Mazumder"/>
    <x v="33"/>
    <x v="15"/>
    <x v="1"/>
    <s v="Assistant General Manager, Information Technology"/>
    <d v="2023-04-08T00:00:00"/>
    <n v="27000"/>
    <m/>
    <s v="That's It Sports Wear Ltd."/>
    <x v="3"/>
    <s v="MD"/>
    <m/>
    <n v="1"/>
  </r>
  <r>
    <n v="109"/>
    <x v="0"/>
    <x v="3"/>
    <s v="053323"/>
    <s v="Md. Elahi Siam"/>
    <x v="5"/>
    <x v="10"/>
    <x v="2"/>
    <s v="Deputy General Manager, Procurement &amp; Development"/>
    <d v="2023-04-08T00:00:00"/>
    <n v="25000"/>
    <m/>
    <s v="Refat Garments Ltd."/>
    <x v="3"/>
    <s v="MD"/>
    <m/>
    <n v="1"/>
  </r>
  <r>
    <n v="110"/>
    <x v="0"/>
    <x v="3"/>
    <s v="053224"/>
    <s v="Md. Akikur Rahman Khan"/>
    <x v="12"/>
    <x v="6"/>
    <x v="2"/>
    <s v="Assistant General Manager, Merchandising"/>
    <d v="2023-04-02T00:00:00"/>
    <n v="56000"/>
    <m/>
    <s v="Creative Collection Ltd."/>
    <x v="3"/>
    <s v="Director"/>
    <m/>
    <n v="1"/>
  </r>
  <r>
    <n v="111"/>
    <x v="0"/>
    <x v="3"/>
    <s v="053225"/>
    <s v="Rasel Mahmud Rajib"/>
    <x v="13"/>
    <x v="6"/>
    <x v="2"/>
    <s v="General Manager, Merchandising"/>
    <d v="2023-04-02T00:00:00"/>
    <n v="50000"/>
    <m/>
    <s v="Creative Collection Ltd."/>
    <x v="2"/>
    <s v="Director"/>
    <m/>
    <n v="1"/>
  </r>
  <r>
    <n v="112"/>
    <x v="0"/>
    <x v="3"/>
    <s v="053292"/>
    <s v="Md. Humayun Rashid"/>
    <x v="26"/>
    <x v="6"/>
    <x v="1"/>
    <s v="Senior General Manager, Merchandising"/>
    <d v="2023-04-04T00:00:00"/>
    <n v="20000"/>
    <m/>
    <s v="Creative Collection Ltd."/>
    <x v="2"/>
    <s v="MD"/>
    <m/>
    <n v="1"/>
  </r>
  <r>
    <n v="113"/>
    <x v="0"/>
    <x v="3"/>
    <s v="053294"/>
    <s v="Asif Mahmud"/>
    <x v="26"/>
    <x v="6"/>
    <x v="1"/>
    <s v="Senior General Manager, Merchandising"/>
    <d v="2023-04-04T00:00:00"/>
    <n v="20000"/>
    <m/>
    <s v="Refat Garments Ltd."/>
    <x v="2"/>
    <s v="MD"/>
    <m/>
    <n v="1"/>
  </r>
  <r>
    <n v="114"/>
    <x v="0"/>
    <x v="3"/>
    <s v="053296"/>
    <s v="Hridoy Kumer Das"/>
    <x v="26"/>
    <x v="6"/>
    <x v="1"/>
    <s v="Senior General Manager, Merchandising"/>
    <d v="2023-04-04T00:00:00"/>
    <n v="20000"/>
    <m/>
    <s v="Artistic Design Ltd."/>
    <x v="2"/>
    <s v="MD"/>
    <m/>
    <n v="1"/>
  </r>
  <r>
    <n v="115"/>
    <x v="0"/>
    <x v="3"/>
    <s v="053299"/>
    <s v="Adnan Bin Zahid"/>
    <x v="26"/>
    <x v="6"/>
    <x v="1"/>
    <s v="Deputy General Manager Production &amp; Development"/>
    <d v="2023-04-04T00:00:00"/>
    <n v="20000"/>
    <m/>
    <s v="Refat Garments Ltd."/>
    <x v="2"/>
    <s v="MD"/>
    <m/>
    <n v="1"/>
  </r>
  <r>
    <n v="116"/>
    <x v="0"/>
    <x v="3"/>
    <s v="053154"/>
    <s v="Mohaiminul Islam Sami"/>
    <x v="5"/>
    <x v="7"/>
    <x v="1"/>
    <s v="Deputy General Manager Production &amp; Development"/>
    <d v="2023-04-01T00:00:00"/>
    <n v="20000"/>
    <m/>
    <s v="Ha-Meem Spinning Mills Ltd."/>
    <x v="2"/>
    <s v="MD"/>
    <m/>
    <n v="1"/>
  </r>
  <r>
    <n v="117"/>
    <x v="0"/>
    <x v="3"/>
    <s v="053152"/>
    <s v="Md. Yeasin Arafat"/>
    <x v="15"/>
    <x v="3"/>
    <x v="10"/>
    <s v="Deputy General Manager, Admin"/>
    <d v="2023-04-01T00:00:00"/>
    <n v="10775"/>
    <m/>
    <s v="Fauji Chat Kal Ltd."/>
    <x v="3"/>
    <s v="MD"/>
    <m/>
    <n v="1"/>
  </r>
  <r>
    <n v="118"/>
    <x v="0"/>
    <x v="3"/>
    <s v="053099"/>
    <s v="Rubel Molla"/>
    <x v="15"/>
    <x v="3"/>
    <x v="10"/>
    <s v="Deputy General Manager, Admin"/>
    <d v="2023-03-23T00:00:00"/>
    <n v="10775"/>
    <m/>
    <s v="Fauji Chat Kal Ltd."/>
    <x v="3"/>
    <s v="MD"/>
    <m/>
    <n v="1"/>
  </r>
  <r>
    <n v="119"/>
    <x v="0"/>
    <x v="4"/>
    <s v="054516"/>
    <s v="Md. Anamul Hoque"/>
    <x v="20"/>
    <x v="3"/>
    <x v="7"/>
    <s v="Officer, Finance &amp; Accounts"/>
    <d v="2023-04-01T00:00:00"/>
    <n v="10000"/>
    <m/>
    <s v="Refat Garments Ltd."/>
    <x v="3"/>
    <s v="MD"/>
    <m/>
    <n v="1"/>
  </r>
  <r>
    <n v="120"/>
    <x v="0"/>
    <x v="4"/>
    <s v="053392"/>
    <s v="Md. Nazrul Islam Khan"/>
    <x v="17"/>
    <x v="3"/>
    <x v="1"/>
    <s v="Deputy General Manager, Information Technology &amp; Admin"/>
    <d v="2023-05-02T00:00:00"/>
    <n v="16000"/>
    <m/>
    <s v="Refat Garments Ltd."/>
    <x v="0"/>
    <s v="MD"/>
    <m/>
    <n v="1"/>
  </r>
  <r>
    <n v="121"/>
    <x v="0"/>
    <x v="4"/>
    <s v="053375"/>
    <s v="Mohammad Ashraful Islam"/>
    <x v="5"/>
    <x v="16"/>
    <x v="2"/>
    <s v="Executive Director, Audit"/>
    <d v="2023-05-02T00:00:00"/>
    <n v="30000"/>
    <m/>
    <s v="Creative Collection Ltd."/>
    <x v="3"/>
    <s v="MD"/>
    <m/>
    <n v="1"/>
  </r>
  <r>
    <n v="122"/>
    <x v="0"/>
    <x v="4"/>
    <s v="053414"/>
    <s v="Md. Sujan Hossen"/>
    <x v="10"/>
    <x v="16"/>
    <x v="1"/>
    <s v="Executive Director, Audit"/>
    <d v="2023-05-02T00:00:00"/>
    <n v="40000"/>
    <m/>
    <s v="Refat Garments Ltd."/>
    <x v="3"/>
    <s v="MD"/>
    <m/>
    <n v="1"/>
  </r>
  <r>
    <s v="Commercial"/>
    <x v="0"/>
    <x v="4"/>
    <s v="053418"/>
    <s v="Khawza Nishat Anam"/>
    <x v="8"/>
    <x v="4"/>
    <x v="2"/>
    <s v="Assistant General Manager, Commercial"/>
    <d v="2023-05-02T00:00:00"/>
    <n v="20000"/>
    <m/>
    <s v="Refat Garments Ltd."/>
    <x v="2"/>
    <s v="MD"/>
    <m/>
    <n v="1"/>
  </r>
  <r>
    <n v="124"/>
    <x v="0"/>
    <x v="4"/>
    <s v="053416"/>
    <s v="Mustahsin Masrur Rahman"/>
    <x v="8"/>
    <x v="4"/>
    <x v="0"/>
    <s v="Assistant General Manager, Commercial"/>
    <d v="2023-05-02T00:00:00"/>
    <n v="20000"/>
    <m/>
    <s v="Artistic Design Ltd."/>
    <x v="2"/>
    <s v="MD"/>
    <m/>
    <n v="1"/>
  </r>
  <r>
    <n v="125"/>
    <x v="0"/>
    <x v="4"/>
    <s v="053420"/>
    <s v="Fiarooz Sadaf Nokshi"/>
    <x v="34"/>
    <x v="13"/>
    <x v="1"/>
    <s v="General Manager, Design Studio"/>
    <d v="2023-05-02T00:00:00"/>
    <n v="20000"/>
    <m/>
    <s v="Refat Garments Ltd."/>
    <x v="3"/>
    <s v="MD"/>
    <m/>
    <n v="1"/>
  </r>
  <r>
    <n v="126"/>
    <x v="0"/>
    <x v="4"/>
    <s v="053419"/>
    <s v="Parvez Hassan"/>
    <x v="34"/>
    <x v="13"/>
    <x v="1"/>
    <s v="General Manager, Design Studio"/>
    <d v="2023-05-02T00:00:00"/>
    <n v="20000"/>
    <m/>
    <s v="Refat Garments Ltd."/>
    <x v="3"/>
    <s v="MD"/>
    <m/>
    <n v="1"/>
  </r>
  <r>
    <n v="127"/>
    <x v="0"/>
    <x v="4"/>
    <s v="054420"/>
    <s v="Imran Hossain"/>
    <x v="35"/>
    <x v="13"/>
    <x v="1"/>
    <s v="General Manager, Design Studio"/>
    <d v="2023-05-15T00:00:00"/>
    <n v="48000"/>
    <m/>
    <s v="Creative Collection Ltd."/>
    <x v="3"/>
    <s v="MD"/>
    <m/>
    <n v="1"/>
  </r>
  <r>
    <n v="128"/>
    <x v="0"/>
    <x v="4"/>
    <s v="053402"/>
    <s v="Premanshu Kumar Das"/>
    <x v="3"/>
    <x v="13"/>
    <x v="0"/>
    <s v="Director"/>
    <d v="2023-05-02T00:00:00"/>
    <m/>
    <n v="1800"/>
    <s v="That's It Sports Wear Ltd."/>
    <x v="1"/>
    <s v="MD"/>
    <m/>
    <n v="1"/>
  </r>
  <r>
    <n v="129"/>
    <x v="0"/>
    <x v="4"/>
    <s v="053748"/>
    <s v="Md. Mosharrof Hossain"/>
    <x v="0"/>
    <x v="9"/>
    <x v="1"/>
    <s v="Director"/>
    <d v="2023-05-07T00:00:00"/>
    <n v="220000"/>
    <m/>
    <s v="Refat Garments Ltd."/>
    <x v="3"/>
    <s v="MD"/>
    <m/>
    <n v="1"/>
  </r>
  <r>
    <n v="130"/>
    <x v="0"/>
    <x v="4"/>
    <s v="053754"/>
    <s v="Nasif Al Islam"/>
    <x v="9"/>
    <x v="12"/>
    <x v="1"/>
    <s v="Assistant General Manager, ERP"/>
    <d v="2023-05-07T00:00:00"/>
    <n v="80000"/>
    <m/>
    <s v="Ha-Meem Textiles Ltd."/>
    <x v="2"/>
    <s v="MD"/>
    <m/>
    <n v="1"/>
  </r>
  <r>
    <n v="131"/>
    <x v="0"/>
    <x v="4"/>
    <s v="053421"/>
    <s v="Nihrin Akter Bushra"/>
    <x v="5"/>
    <x v="8"/>
    <x v="1"/>
    <s v="General Manager, Finance &amp; Accounts"/>
    <d v="2023-05-02T00:00:00"/>
    <n v="22000"/>
    <m/>
    <s v="Refat Garments Ltd."/>
    <x v="0"/>
    <s v="MD"/>
    <m/>
    <n v="1"/>
  </r>
  <r>
    <n v="132"/>
    <x v="0"/>
    <x v="4"/>
    <s v="053555"/>
    <s v="Md. Riaz Uddin"/>
    <x v="5"/>
    <x v="8"/>
    <x v="1"/>
    <s v="General Manager, Finance &amp; Accounts"/>
    <d v="2023-05-04T00:00:00"/>
    <n v="30000"/>
    <m/>
    <s v="Refat Garments Ltd."/>
    <x v="3"/>
    <s v="MD"/>
    <m/>
    <n v="1"/>
  </r>
  <r>
    <n v="133"/>
    <x v="0"/>
    <x v="4"/>
    <s v="053407"/>
    <s v="Mehrab Hossain Arnab"/>
    <x v="1"/>
    <x v="2"/>
    <x v="2"/>
    <s v="Director"/>
    <d v="2023-05-02T00:00:00"/>
    <n v="45000"/>
    <m/>
    <s v="Creative Collection Ltd."/>
    <x v="2"/>
    <s v="MD"/>
    <m/>
    <n v="1"/>
  </r>
  <r>
    <n v="134"/>
    <x v="0"/>
    <x v="4"/>
    <s v="053412"/>
    <s v="Md. Shihabul Islam"/>
    <x v="1"/>
    <x v="2"/>
    <x v="2"/>
    <s v="Director"/>
    <d v="2023-05-02T00:00:00"/>
    <n v="45000"/>
    <m/>
    <s v="Creative Collection Ltd."/>
    <x v="2"/>
    <s v="MD"/>
    <m/>
    <n v="1"/>
  </r>
  <r>
    <n v="135"/>
    <x v="0"/>
    <x v="4"/>
    <s v="053400"/>
    <s v="Md. Enamul Haque"/>
    <x v="1"/>
    <x v="2"/>
    <x v="2"/>
    <s v="Director"/>
    <d v="2023-05-02T00:00:00"/>
    <n v="45000"/>
    <m/>
    <s v="Creative Collection Ltd."/>
    <x v="2"/>
    <s v="MD"/>
    <m/>
    <n v="1"/>
  </r>
  <r>
    <n v="136"/>
    <x v="0"/>
    <x v="4"/>
    <s v="053384"/>
    <s v="Jannatul Ferdosh"/>
    <x v="5"/>
    <x v="2"/>
    <x v="2"/>
    <s v="Assistant General Manager, Human Resources"/>
    <d v="2023-05-02T00:00:00"/>
    <n v="32000"/>
    <m/>
    <s v="Creative Collection Ltd."/>
    <x v="3"/>
    <s v="MD"/>
    <m/>
    <n v="1"/>
  </r>
  <r>
    <n v="137"/>
    <x v="0"/>
    <x v="4"/>
    <s v="053376"/>
    <s v="Shayful Islam"/>
    <x v="5"/>
    <x v="2"/>
    <x v="2"/>
    <s v="Assistant General Manager, Human Resources"/>
    <d v="2023-05-02T00:00:00"/>
    <n v="30000"/>
    <m/>
    <s v="Creative Collection Ltd."/>
    <x v="3"/>
    <s v="MD"/>
    <m/>
    <n v="1"/>
  </r>
  <r>
    <n v="138"/>
    <x v="0"/>
    <x v="4"/>
    <s v="053399"/>
    <s v="Md. Abul Kalam Azad"/>
    <x v="19"/>
    <x v="2"/>
    <x v="4"/>
    <s v="General Manager, Human Resources"/>
    <d v="2023-05-02T00:00:00"/>
    <n v="130000"/>
    <m/>
    <s v="Bright Wash Ltd."/>
    <x v="3"/>
    <s v="MD"/>
    <m/>
    <n v="1"/>
  </r>
  <r>
    <n v="139"/>
    <x v="0"/>
    <x v="4"/>
    <s v="053403"/>
    <s v="Billal Hossain"/>
    <x v="5"/>
    <x v="2"/>
    <x v="0"/>
    <s v="Assistant General Manager, Human Resources"/>
    <d v="2023-05-02T00:00:00"/>
    <n v="22000"/>
    <m/>
    <s v="Refat Garments Ltd."/>
    <x v="3"/>
    <s v="MD"/>
    <m/>
    <n v="1"/>
  </r>
  <r>
    <n v="140"/>
    <x v="0"/>
    <x v="4"/>
    <s v="053404"/>
    <s v="Rashed  Islam"/>
    <x v="8"/>
    <x v="2"/>
    <x v="0"/>
    <s v="Assistant General Manager, Human Resources"/>
    <d v="2023-05-02T00:00:00"/>
    <n v="18000"/>
    <m/>
    <s v="That's It Sports Wear Ltd."/>
    <x v="3"/>
    <s v="MD"/>
    <m/>
    <n v="1"/>
  </r>
  <r>
    <n v="141"/>
    <x v="0"/>
    <x v="4"/>
    <s v="053395"/>
    <s v="Farjana Akhter"/>
    <x v="5"/>
    <x v="2"/>
    <x v="2"/>
    <s v="General Manager, Human Resources"/>
    <d v="2023-05-02T00:00:00"/>
    <n v="27000"/>
    <m/>
    <s v="Creative Collection Ltd."/>
    <x v="3"/>
    <s v="MD"/>
    <m/>
    <n v="1"/>
  </r>
  <r>
    <n v="142"/>
    <x v="0"/>
    <x v="4"/>
    <s v="053401"/>
    <s v="Md. Tamzit Ahmed"/>
    <x v="5"/>
    <x v="2"/>
    <x v="8"/>
    <s v="Manager, Human Resources"/>
    <d v="2023-05-02T00:00:00"/>
    <n v="30000"/>
    <m/>
    <s v="That's It Sports Wear Ltd."/>
    <x v="3"/>
    <s v="MD"/>
    <m/>
    <n v="1"/>
  </r>
  <r>
    <n v="143"/>
    <x v="0"/>
    <x v="4"/>
    <s v="054433"/>
    <s v="Rakibul Hasan"/>
    <x v="5"/>
    <x v="2"/>
    <x v="4"/>
    <s v="Assistant General Manager, Human Resources"/>
    <d v="2023-05-15T00:00:00"/>
    <n v="24000"/>
    <m/>
    <s v="Ha-Meem Design Ltd."/>
    <x v="3"/>
    <s v="MD"/>
    <m/>
    <n v="1"/>
  </r>
  <r>
    <n v="144"/>
    <x v="0"/>
    <x v="4"/>
    <s v="054415"/>
    <s v="Nazmul Hassan"/>
    <x v="5"/>
    <x v="2"/>
    <x v="2"/>
    <s v="General Manager, Human Resources"/>
    <d v="2023-05-15T00:00:00"/>
    <n v="27000"/>
    <m/>
    <s v="Creative Collection Ltd."/>
    <x v="0"/>
    <s v="MD"/>
    <m/>
    <n v="1"/>
  </r>
  <r>
    <n v="145"/>
    <x v="0"/>
    <x v="4"/>
    <s v="054501"/>
    <s v="Ali Shahryar"/>
    <x v="12"/>
    <x v="6"/>
    <x v="2"/>
    <s v="Assistant General Manager, Merchandising"/>
    <d v="2023-05-15T00:00:00"/>
    <n v="55000"/>
    <m/>
    <s v="Creative Collection Ltd."/>
    <x v="0"/>
    <s v="Director"/>
    <m/>
    <n v="1"/>
  </r>
  <r>
    <n v="146"/>
    <x v="0"/>
    <x v="4"/>
    <s v="054508"/>
    <s v="Mosharof Hossain Dider"/>
    <x v="13"/>
    <x v="6"/>
    <x v="2"/>
    <s v="Deputy General Manager, Merchandising"/>
    <d v="2023-05-15T00:00:00"/>
    <n v="37000"/>
    <m/>
    <s v="Creative Collection Ltd."/>
    <x v="0"/>
    <s v="Director"/>
    <m/>
    <n v="1"/>
  </r>
  <r>
    <n v="147"/>
    <x v="0"/>
    <x v="4"/>
    <s v="054504"/>
    <s v="Shahidul Islam"/>
    <x v="12"/>
    <x v="6"/>
    <x v="2"/>
    <s v="Deputy General Manager, Merchandising"/>
    <d v="2023-05-15T00:00:00"/>
    <n v="58000"/>
    <m/>
    <s v="Creative Collection Ltd."/>
    <x v="3"/>
    <s v="Director"/>
    <m/>
    <n v="1"/>
  </r>
  <r>
    <n v="148"/>
    <x v="0"/>
    <x v="4"/>
    <s v="054159"/>
    <s v="Dewan Sadat Rahman"/>
    <x v="26"/>
    <x v="6"/>
    <x v="2"/>
    <s v="Deputy General Manager, Merchandising"/>
    <d v="2023-05-10T00:00:00"/>
    <n v="20000"/>
    <m/>
    <s v="Creative Collection Ltd."/>
    <x v="0"/>
    <s v="Director"/>
    <m/>
    <n v="1"/>
  </r>
  <r>
    <n v="149"/>
    <x v="0"/>
    <x v="4"/>
    <s v="054160"/>
    <s v="Nuzhat Tabassum Simin"/>
    <x v="26"/>
    <x v="6"/>
    <x v="2"/>
    <s v="Deputy General Manager, Merchandising"/>
    <d v="2023-05-10T00:00:00"/>
    <n v="20000"/>
    <m/>
    <s v="Creative Collection Ltd."/>
    <x v="0"/>
    <s v="Director"/>
    <m/>
    <n v="1"/>
  </r>
  <r>
    <n v="150"/>
    <x v="0"/>
    <x v="4"/>
    <s v="053895"/>
    <s v="Md. Maksudur Rahman"/>
    <x v="12"/>
    <x v="6"/>
    <x v="2"/>
    <s v="Deputy General Manager, Merchandising"/>
    <d v="2023-05-02T00:00:00"/>
    <n v="60000"/>
    <m/>
    <s v="Creative Collection Ltd."/>
    <x v="3"/>
    <s v="Director"/>
    <m/>
    <n v="1"/>
  </r>
  <r>
    <n v="151"/>
    <x v="0"/>
    <x v="4"/>
    <s v="053898"/>
    <s v="Sakib Hossain"/>
    <x v="26"/>
    <x v="6"/>
    <x v="2"/>
    <s v="General Manager, Merchandising"/>
    <d v="2023-05-02T00:00:00"/>
    <n v="20000"/>
    <m/>
    <s v="Creative Collection Ltd."/>
    <x v="0"/>
    <s v="Director"/>
    <m/>
    <n v="1"/>
  </r>
  <r>
    <n v="152"/>
    <x v="0"/>
    <x v="4"/>
    <s v="053903"/>
    <s v="Sadia Farzana"/>
    <x v="26"/>
    <x v="6"/>
    <x v="2"/>
    <s v="General Manager, Merchandising"/>
    <d v="2023-05-02T00:00:00"/>
    <n v="20000"/>
    <m/>
    <s v="Creative Collection Ltd."/>
    <x v="0"/>
    <s v="Director"/>
    <m/>
    <n v="1"/>
  </r>
  <r>
    <n v="153"/>
    <x v="0"/>
    <x v="4"/>
    <s v="054418"/>
    <s v="Inamul Haque Sowrav"/>
    <x v="5"/>
    <x v="10"/>
    <x v="3"/>
    <s v="Deputy General Manager, Procurement &amp; Development"/>
    <d v="2023-05-15T00:00:00"/>
    <n v="25000"/>
    <m/>
    <s v="Artistic Design Ltd."/>
    <x v="3"/>
    <s v="MD"/>
    <m/>
    <n v="1"/>
  </r>
  <r>
    <n v="154"/>
    <x v="0"/>
    <x v="4"/>
    <s v="054421"/>
    <s v="Mahamudul Karim"/>
    <x v="5"/>
    <x v="10"/>
    <x v="1"/>
    <s v="Deputy General Manager, Procurement &amp; Development"/>
    <d v="2023-05-15T00:00:00"/>
    <n v="25000"/>
    <m/>
    <s v="Refat Garments Ltd."/>
    <x v="3"/>
    <s v="MD"/>
    <m/>
    <n v="1"/>
  </r>
  <r>
    <n v="155"/>
    <x v="0"/>
    <x v="4"/>
    <s v="054422"/>
    <s v="Md. Rabiul Sany Khan"/>
    <x v="5"/>
    <x v="10"/>
    <x v="1"/>
    <s v="Deputy General Manager, Procurement &amp; Development"/>
    <d v="2023-05-15T00:00:00"/>
    <n v="25000"/>
    <m/>
    <s v="Refat Garments Ltd."/>
    <x v="3"/>
    <s v="MD"/>
    <m/>
    <n v="1"/>
  </r>
  <r>
    <n v="156"/>
    <x v="0"/>
    <x v="4"/>
    <s v="053445"/>
    <s v="Ivan Ravi Sinniah"/>
    <x v="0"/>
    <x v="0"/>
    <x v="0"/>
    <s v="Director"/>
    <d v="2023-05-02T00:00:00"/>
    <m/>
    <n v="4000"/>
    <s v="That's It Sports Wear Ltd."/>
    <x v="1"/>
    <s v="MD"/>
    <m/>
    <n v="1"/>
  </r>
  <r>
    <n v="157"/>
    <x v="0"/>
    <x v="4"/>
    <s v="053593"/>
    <s v="Gnanaseeha Ravi Halgahawatta Liyanaarachchi"/>
    <x v="36"/>
    <x v="0"/>
    <x v="0"/>
    <s v="Group DMD"/>
    <d v="2023-05-04T00:00:00"/>
    <m/>
    <n v="3500"/>
    <s v="Refat Garments Ltd."/>
    <x v="1"/>
    <s v="MD"/>
    <m/>
    <n v="1"/>
  </r>
  <r>
    <n v="158"/>
    <x v="0"/>
    <x v="4"/>
    <s v="053461"/>
    <s v="Dipankar Das"/>
    <x v="0"/>
    <x v="1"/>
    <x v="0"/>
    <s v="Executive Director,  Ashulia"/>
    <d v="2023-05-03T00:00:00"/>
    <n v="180000"/>
    <m/>
    <s v="Artistic Design Ltd."/>
    <x v="3"/>
    <s v="MD"/>
    <m/>
    <n v="1"/>
  </r>
  <r>
    <n v="159"/>
    <x v="0"/>
    <x v="4"/>
    <s v="054355"/>
    <s v="Md. Ariful Islam"/>
    <x v="9"/>
    <x v="12"/>
    <x v="1"/>
    <s v="Assistant General Manager, ERP"/>
    <d v="2023-05-14T00:00:00"/>
    <n v="70000"/>
    <m/>
    <s v="Ha-Meem Spinning Mills Ltd."/>
    <x v="2"/>
    <s v="MD"/>
    <m/>
    <n v="1"/>
  </r>
  <r>
    <n v="160"/>
    <x v="0"/>
    <x v="4"/>
    <s v="054429"/>
    <s v="Muhammad Gaus Mia"/>
    <x v="15"/>
    <x v="3"/>
    <x v="6"/>
    <s v="Deputy General Manager, Admin"/>
    <d v="2023-05-15T00:00:00"/>
    <n v="10775"/>
    <m/>
    <s v="Sylhet Planters Ltd."/>
    <x v="3"/>
    <s v="MD"/>
    <m/>
    <n v="1"/>
  </r>
  <r>
    <n v="161"/>
    <x v="0"/>
    <x v="4"/>
    <s v="May, 2023"/>
    <s v="Abisheak Shill"/>
    <x v="5"/>
    <x v="17"/>
    <x v="1"/>
    <s v="MD"/>
    <d v="2023-05-02T00:00:00"/>
    <n v="20000"/>
    <m/>
    <s v="Refat Garments Ltd."/>
    <x v="2"/>
    <s v="MD"/>
    <m/>
    <n v="1"/>
  </r>
  <r>
    <n v="162"/>
    <x v="0"/>
    <x v="4"/>
    <s v="May, 2023"/>
    <s v="Amit Ghosh"/>
    <x v="5"/>
    <x v="17"/>
    <x v="1"/>
    <s v="MD"/>
    <d v="2023-05-02T00:00:00"/>
    <n v="20000"/>
    <m/>
    <s v="Refat Garments Ltd."/>
    <x v="2"/>
    <s v="MD"/>
    <m/>
    <n v="1"/>
  </r>
  <r>
    <n v="163"/>
    <x v="0"/>
    <x v="4"/>
    <s v="May, 2023"/>
    <s v="Md. Farukuzzaman Leeon"/>
    <x v="5"/>
    <x v="17"/>
    <x v="1"/>
    <s v="MD"/>
    <d v="2023-03-01T00:00:00"/>
    <n v="25000"/>
    <m/>
    <s v="Refat Garments Ltd."/>
    <x v="2"/>
    <s v="MD"/>
    <m/>
    <n v="1"/>
  </r>
  <r>
    <n v="164"/>
    <x v="0"/>
    <x v="5"/>
    <s v="054799"/>
    <s v="Md. Akkas Ali Munsi"/>
    <x v="17"/>
    <x v="3"/>
    <x v="1"/>
    <s v="Deputy General Manager, Admin"/>
    <d v="2023-06-06T00:00:00"/>
    <n v="24000"/>
    <m/>
    <s v="Refat Garments Ltd."/>
    <x v="3"/>
    <s v="MD"/>
    <m/>
    <n v="1"/>
  </r>
  <r>
    <n v="165"/>
    <x v="0"/>
    <x v="5"/>
    <s v="054797"/>
    <s v="Md. Zahid Hossain"/>
    <x v="17"/>
    <x v="3"/>
    <x v="1"/>
    <s v="Deputy General Manager, Admin"/>
    <d v="2023-06-01T00:00:00"/>
    <n v="15000"/>
    <m/>
    <s v="Refat Garments Ltd."/>
    <x v="3"/>
    <s v="MD"/>
    <m/>
    <n v="1"/>
  </r>
  <r>
    <n v="166"/>
    <x v="0"/>
    <x v="5"/>
    <s v="054802"/>
    <s v="Sahrin Saima Samanta"/>
    <x v="5"/>
    <x v="16"/>
    <x v="0"/>
    <s v="Executive Director, Audit"/>
    <d v="2023-06-01T00:00:00"/>
    <n v="25000"/>
    <m/>
    <s v="Refat Garments Ltd."/>
    <x v="3"/>
    <s v="MD"/>
    <m/>
    <n v="1"/>
  </r>
  <r>
    <n v="167"/>
    <x v="0"/>
    <x v="5"/>
    <s v="054810"/>
    <s v="Md. Eiasin Mia"/>
    <x v="5"/>
    <x v="16"/>
    <x v="2"/>
    <s v="Executive Director, Audit"/>
    <d v="2023-06-01T00:00:00"/>
    <n v="27000"/>
    <m/>
    <s v="Creative Collection Ltd."/>
    <x v="3"/>
    <s v="MD"/>
    <m/>
    <n v="1"/>
  </r>
  <r>
    <n v="168"/>
    <x v="0"/>
    <x v="5"/>
    <s v="055407"/>
    <s v="Mohammad Amran Ali"/>
    <x v="10"/>
    <x v="4"/>
    <x v="1"/>
    <s v="Deputy General Manager, Commercial"/>
    <d v="2023-06-15T00:00:00"/>
    <n v="35000"/>
    <m/>
    <s v="Ha-Meem Textiles Ltd."/>
    <x v="3"/>
    <s v="MD"/>
    <m/>
    <n v="1"/>
  </r>
  <r>
    <n v="169"/>
    <x v="0"/>
    <x v="5"/>
    <s v="055220"/>
    <s v="Md. Samsul Haque Pinku"/>
    <x v="5"/>
    <x v="4"/>
    <x v="1"/>
    <s v="Senior General Manager, Commercial"/>
    <d v="2023-06-06T00:00:00"/>
    <n v="25000"/>
    <m/>
    <s v="Refat Garments Ltd."/>
    <x v="2"/>
    <s v="MD"/>
    <m/>
    <n v="1"/>
  </r>
  <r>
    <n v="170"/>
    <x v="0"/>
    <x v="5"/>
    <s v="054800"/>
    <s v="Meheli Hassan"/>
    <x v="5"/>
    <x v="2"/>
    <x v="1"/>
    <s v="General Manager, Human Resources"/>
    <d v="2023-06-01T00:00:00"/>
    <n v="20000"/>
    <m/>
    <s v="Refat Garments Ltd."/>
    <x v="0"/>
    <s v="MD"/>
    <m/>
    <n v="1"/>
  </r>
  <r>
    <n v="171"/>
    <x v="0"/>
    <x v="5"/>
    <s v="055408"/>
    <s v="Md. Mohon"/>
    <x v="8"/>
    <x v="2"/>
    <x v="0"/>
    <s v="Assistant General Manager, Human Resources"/>
    <d v="2023-06-15T00:00:00"/>
    <n v="18000"/>
    <m/>
    <s v="Apparel Gallery Ltd."/>
    <x v="3"/>
    <s v="MD"/>
    <m/>
    <n v="1"/>
  </r>
  <r>
    <n v="172"/>
    <x v="0"/>
    <x v="5"/>
    <s v="055380"/>
    <s v="Kowsar Uddin Chowdhury"/>
    <x v="0"/>
    <x v="2"/>
    <x v="2"/>
    <s v="Director"/>
    <d v="2023-06-13T00:00:00"/>
    <n v="300000"/>
    <m/>
    <s v="Creative Collection Ltd."/>
    <x v="3"/>
    <s v="MD"/>
    <m/>
    <n v="1"/>
  </r>
  <r>
    <n v="173"/>
    <x v="0"/>
    <x v="5"/>
    <s v="055264"/>
    <s v="Babu Jayaram"/>
    <x v="0"/>
    <x v="6"/>
    <x v="2"/>
    <s v="Director"/>
    <d v="2023-06-07T00:00:00"/>
    <m/>
    <n v="3500"/>
    <s v="Creative Collection Ltd."/>
    <x v="1"/>
    <s v="MD"/>
    <m/>
    <n v="1"/>
  </r>
  <r>
    <n v="174"/>
    <x v="0"/>
    <x v="5"/>
    <s v="055093"/>
    <s v="Rezaul Hoque Riaz"/>
    <x v="26"/>
    <x v="6"/>
    <x v="2"/>
    <s v="Deputy General Manager, Merchandising"/>
    <d v="2023-06-01T00:00:00"/>
    <n v="20000"/>
    <m/>
    <s v="Creative Collection Ltd."/>
    <x v="0"/>
    <s v="Director"/>
    <m/>
    <n v="1"/>
  </r>
  <r>
    <n v="175"/>
    <x v="0"/>
    <x v="5"/>
    <s v="055095"/>
    <s v="Tanjir Siddiky Mokib"/>
    <x v="26"/>
    <x v="6"/>
    <x v="2"/>
    <s v="General Manager, Merchandising"/>
    <d v="2023-06-01T00:00:00"/>
    <n v="20000"/>
    <m/>
    <s v="Creative Collection Ltd."/>
    <x v="3"/>
    <s v="Director"/>
    <m/>
    <n v="1"/>
  </r>
  <r>
    <n v="176"/>
    <x v="0"/>
    <x v="5"/>
    <s v="055085"/>
    <s v="Mainul Islam"/>
    <x v="26"/>
    <x v="6"/>
    <x v="2"/>
    <s v="General Manager, Merchandising"/>
    <d v="2023-06-01T00:00:00"/>
    <n v="20000"/>
    <m/>
    <s v="Creative Collection Ltd."/>
    <x v="3"/>
    <s v="Director"/>
    <m/>
    <n v="1"/>
  </r>
  <r>
    <n v="177"/>
    <x v="0"/>
    <x v="5"/>
    <s v="055082"/>
    <s v="Md. Tasin Tahmid"/>
    <x v="26"/>
    <x v="6"/>
    <x v="2"/>
    <s v="Deputy General Manager, Merchandising"/>
    <d v="2023-06-01T00:00:00"/>
    <n v="20000"/>
    <m/>
    <s v="Creative Collection Ltd."/>
    <x v="2"/>
    <s v="Director"/>
    <m/>
    <n v="1"/>
  </r>
  <r>
    <n v="178"/>
    <x v="0"/>
    <x v="5"/>
    <s v="055421"/>
    <s v="Md. Jamiul Mannan"/>
    <x v="13"/>
    <x v="6"/>
    <x v="2"/>
    <s v="Assistant General Manager, Merchandising"/>
    <d v="2023-06-15T00:00:00"/>
    <n v="40000"/>
    <m/>
    <s v="Creative Collection Ltd."/>
    <x v="0"/>
    <s v="Director"/>
    <m/>
    <n v="1"/>
  </r>
  <r>
    <n v="179"/>
    <x v="0"/>
    <x v="5"/>
    <s v="055423"/>
    <s v="Md Ibrahim Khalil"/>
    <x v="13"/>
    <x v="6"/>
    <x v="2"/>
    <s v="Deputy General Manager, Merchandising"/>
    <d v="2023-06-15T00:00:00"/>
    <n v="36000"/>
    <m/>
    <s v="Creative Collection Ltd."/>
    <x v="0"/>
    <s v="Director"/>
    <m/>
    <n v="1"/>
  </r>
  <r>
    <n v="180"/>
    <x v="0"/>
    <x v="5"/>
    <s v="054808"/>
    <s v="Rani Sultana"/>
    <x v="8"/>
    <x v="18"/>
    <x v="1"/>
    <s v="Head of Power &amp; Energy"/>
    <d v="2023-06-01T00:00:00"/>
    <n v="20000"/>
    <m/>
    <s v="Refat Garments Ltd."/>
    <x v="3"/>
    <s v="MD"/>
    <m/>
    <n v="1"/>
  </r>
  <r>
    <n v="181"/>
    <x v="0"/>
    <x v="5"/>
    <s v="055405"/>
    <s v="Md. Billal Hossen"/>
    <x v="8"/>
    <x v="18"/>
    <x v="2"/>
    <s v="Deputy General Manager (Electrical), Power &amp; Energy"/>
    <d v="2023-06-15T00:00:00"/>
    <n v="25000"/>
    <m/>
    <s v="Creative Collection Ltd."/>
    <x v="0"/>
    <s v="MD"/>
    <m/>
    <n v="1"/>
  </r>
  <r>
    <n v="182"/>
    <x v="0"/>
    <x v="5"/>
    <s v="055406"/>
    <s v="Md. Maminul Islam"/>
    <x v="8"/>
    <x v="18"/>
    <x v="2"/>
    <s v="Deputy General Manager (Electrical), Power &amp; Energy"/>
    <d v="2023-06-15T00:00:00"/>
    <n v="22000"/>
    <m/>
    <s v="Creative Collection Ltd."/>
    <x v="0"/>
    <s v="MD"/>
    <m/>
    <n v="1"/>
  </r>
  <r>
    <n v="183"/>
    <x v="0"/>
    <x v="5"/>
    <s v="055404"/>
    <s v="Md. Ruhul Amin"/>
    <x v="28"/>
    <x v="3"/>
    <x v="1"/>
    <s v="Deputy General Manager, Information Technology &amp; Admin"/>
    <d v="2023-06-15T00:00:00"/>
    <n v="30000"/>
    <m/>
    <s v="Refat Garments Ltd."/>
    <x v="2"/>
    <s v="MD"/>
    <m/>
    <n v="1"/>
  </r>
  <r>
    <n v="184"/>
    <x v="0"/>
    <x v="6"/>
    <s v="055625"/>
    <s v="Md. Forkan Hossain"/>
    <x v="17"/>
    <x v="3"/>
    <x v="1"/>
    <s v="Executive Director, PSM"/>
    <d v="2023-07-10T00:00:00"/>
    <n v="25000"/>
    <m/>
    <s v="Refat Garments Ltd."/>
    <x v="3"/>
    <s v="MD"/>
    <m/>
    <n v="1"/>
  </r>
  <r>
    <n v="185"/>
    <x v="0"/>
    <x v="6"/>
    <s v="055269"/>
    <s v="Sumon"/>
    <x v="17"/>
    <x v="3"/>
    <x v="1"/>
    <s v="Officer, Admin"/>
    <d v="2023-07-10T00:00:00"/>
    <n v="15000"/>
    <m/>
    <s v="Refat Garments Ltd."/>
    <x v="0"/>
    <s v="MD"/>
    <m/>
    <n v="1"/>
  </r>
  <r>
    <n v="186"/>
    <x v="0"/>
    <x v="6"/>
    <s v="055626"/>
    <s v="Arfatur Rahman"/>
    <x v="5"/>
    <x v="16"/>
    <x v="2"/>
    <s v="Executive Director, Audit"/>
    <d v="2023-07-10T00:00:00"/>
    <n v="25000"/>
    <m/>
    <s v="Creative Collection Ltd."/>
    <x v="3"/>
    <s v="MD"/>
    <m/>
    <n v="1"/>
  </r>
  <r>
    <n v="187"/>
    <x v="0"/>
    <x v="6"/>
    <s v="055632"/>
    <s v="Kazi Anika"/>
    <x v="5"/>
    <x v="4"/>
    <x v="1"/>
    <s v="Deputy General Manager, Commercial"/>
    <d v="2023-07-10T00:00:00"/>
    <n v="30000"/>
    <m/>
    <s v="Ha-Meem Textiles Ltd."/>
    <x v="3"/>
    <s v="MD"/>
    <m/>
    <n v="1"/>
  </r>
  <r>
    <n v="188"/>
    <x v="0"/>
    <x v="6"/>
    <s v="055474"/>
    <s v="Hazem Osama Mohamed Zaky"/>
    <x v="35"/>
    <x v="14"/>
    <x v="2"/>
    <s v="Group DMD"/>
    <d v="2023-07-08T00:00:00"/>
    <m/>
    <n v="2000"/>
    <s v="Creative Wash Ltd."/>
    <x v="1"/>
    <s v="MD"/>
    <m/>
    <n v="1"/>
  </r>
  <r>
    <n v="189"/>
    <x v="0"/>
    <x v="6"/>
    <s v="055910"/>
    <s v="Md. Waliullah"/>
    <x v="19"/>
    <x v="12"/>
    <x v="1"/>
    <s v="Assistant General Manager, ERP"/>
    <d v="2023-07-16T00:00:00"/>
    <n v="135000"/>
    <m/>
    <s v="Ha-Meem Denim Ltd."/>
    <x v="2"/>
    <s v="MD"/>
    <m/>
    <n v="1"/>
  </r>
  <r>
    <n v="190"/>
    <x v="0"/>
    <x v="6"/>
    <s v="055633"/>
    <s v="Md. Rayhan Habib"/>
    <x v="5"/>
    <x v="8"/>
    <x v="1"/>
    <s v="General Manager, Finance &amp; Accounts"/>
    <d v="2023-07-10T00:00:00"/>
    <n v="30000"/>
    <m/>
    <s v="Refat Garments Ltd."/>
    <x v="3"/>
    <s v="MD"/>
    <m/>
    <n v="1"/>
  </r>
  <r>
    <n v="191"/>
    <x v="0"/>
    <x v="6"/>
    <s v="055631"/>
    <s v="Samir Kanti Biswas"/>
    <x v="11"/>
    <x v="2"/>
    <x v="8"/>
    <s v="General Manager, Human Resources"/>
    <d v="2023-07-10T00:00:00"/>
    <n v="75000"/>
    <m/>
    <s v="That's It Sports Wear Ltd."/>
    <x v="3"/>
    <s v="MD"/>
    <m/>
    <n v="1"/>
  </r>
  <r>
    <n v="192"/>
    <x v="0"/>
    <x v="6"/>
    <s v="055770"/>
    <s v="Rubaet Bin Aziz"/>
    <x v="0"/>
    <x v="2"/>
    <x v="1"/>
    <s v="Sr. Executive Director, HO"/>
    <d v="2023-07-12T00:00:00"/>
    <n v="200000"/>
    <m/>
    <s v="Apperal Gallery Ltd."/>
    <x v="3"/>
    <s v="MD"/>
    <m/>
    <n v="1"/>
  </r>
  <r>
    <n v="193"/>
    <x v="0"/>
    <x v="6"/>
    <s v="057323"/>
    <s v="Imran Ahmed "/>
    <x v="0"/>
    <x v="2"/>
    <x v="1"/>
    <s v="Sr. Executive Director, HO"/>
    <d v="2023-07-22T00:00:00"/>
    <n v="200000"/>
    <m/>
    <s v="Refat Garments Ltd."/>
    <x v="3"/>
    <s v="MD"/>
    <m/>
    <n v="1"/>
  </r>
  <r>
    <n v="194"/>
    <x v="0"/>
    <x v="6"/>
    <s v="055935"/>
    <s v="Richard Ravichander"/>
    <x v="37"/>
    <x v="19"/>
    <x v="0"/>
    <s v="Director"/>
    <d v="2023-07-14T00:00:00"/>
    <m/>
    <n v="4500"/>
    <s v="Apperal Gallery Ltd."/>
    <x v="1"/>
    <s v="MD"/>
    <m/>
    <n v="1"/>
  </r>
  <r>
    <n v="195"/>
    <x v="0"/>
    <x v="6"/>
    <s v="055931"/>
    <s v="Mustafa Shamim Reza"/>
    <x v="37"/>
    <x v="19"/>
    <x v="2"/>
    <s v="Director"/>
    <d v="2023-07-17T00:00:00"/>
    <n v="300000"/>
    <m/>
    <s v="Casual Garments Ltd."/>
    <x v="2"/>
    <s v="MD"/>
    <m/>
    <n v="1"/>
  </r>
  <r>
    <n v="196"/>
    <x v="0"/>
    <x v="6"/>
    <s v="055622"/>
    <s v="Md. Adilur Rahman"/>
    <x v="26"/>
    <x v="6"/>
    <x v="2"/>
    <s v="General Manager, Merchandising"/>
    <d v="2023-07-08T00:00:00"/>
    <n v="20000"/>
    <m/>
    <s v="Creative Collection Ltd."/>
    <x v="3"/>
    <s v="MD"/>
    <m/>
    <n v="1"/>
  </r>
  <r>
    <n v="197"/>
    <x v="0"/>
    <x v="6"/>
    <s v="055621"/>
    <s v="Mahmud Hasan"/>
    <x v="12"/>
    <x v="6"/>
    <x v="2"/>
    <s v="Deputy General Manager, Merchandising"/>
    <d v="2023-07-08T00:00:00"/>
    <n v="55000"/>
    <m/>
    <s v="Creative Collection Ltd."/>
    <x v="3"/>
    <s v="MD"/>
    <m/>
    <n v="1"/>
  </r>
  <r>
    <n v="198"/>
    <x v="0"/>
    <x v="6"/>
    <s v="055622"/>
    <s v="Saed Ul Islam Sazil"/>
    <x v="26"/>
    <x v="6"/>
    <x v="2"/>
    <s v="General Manager, Merchandising"/>
    <d v="2023-07-08T00:00:00"/>
    <n v="20000"/>
    <m/>
    <s v="Creative Collection Ltd."/>
    <x v="3"/>
    <s v="MD"/>
    <m/>
    <n v="1"/>
  </r>
  <r>
    <n v="199"/>
    <x v="0"/>
    <x v="6"/>
    <s v="A60402"/>
    <s v="Md. Asrafuzzaman Selim"/>
    <x v="26"/>
    <x v="6"/>
    <x v="1"/>
    <s v="Senior General Manager, Merchandising"/>
    <d v="2023-07-19T00:00:00"/>
    <n v="20000"/>
    <m/>
    <s v="Creative Collection Ltd."/>
    <x v="3"/>
    <s v="MD"/>
    <m/>
    <n v="1"/>
  </r>
  <r>
    <n v="200"/>
    <x v="0"/>
    <x v="6"/>
    <s v="055628"/>
    <s v="Soumik Sarker"/>
    <x v="5"/>
    <x v="18"/>
    <x v="1"/>
    <s v="Head of Power &amp; Energy"/>
    <d v="2023-07-10T00:00:00"/>
    <n v="25000"/>
    <m/>
    <s v="Refat Garments Ltd."/>
    <x v="0"/>
    <s v="MD"/>
    <m/>
    <n v="1"/>
  </r>
  <r>
    <n v="201"/>
    <x v="0"/>
    <x v="6"/>
    <s v="055627"/>
    <s v="Foysal Ahmed  Shourav"/>
    <x v="5"/>
    <x v="18"/>
    <x v="1"/>
    <s v="Head of Power &amp; Energy"/>
    <d v="2023-07-10T00:00:00"/>
    <n v="35000"/>
    <m/>
    <s v="Refat Garments Ltd."/>
    <x v="0"/>
    <s v="MD"/>
    <m/>
    <n v="1"/>
  </r>
  <r>
    <n v="202"/>
    <x v="0"/>
    <x v="6"/>
    <s v="057240"/>
    <s v="Md. Fazle Rabby"/>
    <x v="5"/>
    <x v="10"/>
    <x v="1"/>
    <s v="Deputy General Manager, Procurement &amp; Development"/>
    <d v="2023-07-19T00:00:00"/>
    <n v="25000"/>
    <m/>
    <s v="Refat Garments Ltd."/>
    <x v="3"/>
    <s v="MD"/>
    <m/>
    <n v="1"/>
  </r>
  <r>
    <n v="203"/>
    <x v="0"/>
    <x v="6"/>
    <s v="055928"/>
    <s v="Shomir Mohanty Sunny"/>
    <x v="0"/>
    <x v="1"/>
    <x v="0"/>
    <s v="Senior Executive Director"/>
    <d v="2023-07-16T00:00:00"/>
    <n v="382628"/>
    <m/>
    <s v="That's It Sports Wear Ltd."/>
    <x v="3"/>
    <s v="MD"/>
    <m/>
    <n v="1"/>
  </r>
  <r>
    <n v="204"/>
    <x v="0"/>
    <x v="6"/>
    <s v="055475"/>
    <s v="Sujit Ram Kavathekar"/>
    <x v="0"/>
    <x v="1"/>
    <x v="0"/>
    <s v="Director"/>
    <d v="2023-07-08T00:00:00"/>
    <m/>
    <n v="5000"/>
    <s v="Artistic Design Ltd."/>
    <x v="1"/>
    <s v="MD"/>
    <m/>
    <n v="1"/>
  </r>
  <r>
    <n v="205"/>
    <x v="0"/>
    <x v="7"/>
    <s v="59260"/>
    <s v="Md. Limon Muzumdar"/>
    <x v="38"/>
    <x v="4"/>
    <x v="1"/>
    <s v="Deputy General Manager, Commercial"/>
    <d v="2023-08-16T00:00:00"/>
    <n v="11000"/>
    <m/>
    <s v="Ha-Meem Denim Ltd."/>
    <x v="3"/>
    <s v="MD/ Director"/>
    <m/>
    <n v="1"/>
  </r>
  <r>
    <n v="206"/>
    <x v="0"/>
    <x v="7"/>
    <s v="059264"/>
    <s v="Md. Abdul Bari"/>
    <x v="39"/>
    <x v="9"/>
    <x v="1"/>
    <s v="Executive Director, Engineering"/>
    <d v="2023-08-16T00:00:00"/>
    <n v="38000"/>
    <m/>
    <s v="Creative Collection Ltd."/>
    <x v="0"/>
    <s v="MD/ Director"/>
    <m/>
    <n v="1"/>
  </r>
  <r>
    <n v="207"/>
    <x v="0"/>
    <x v="7"/>
    <s v="059265"/>
    <s v="Asiq Alam Bijoy"/>
    <x v="10"/>
    <x v="12"/>
    <x v="1"/>
    <s v="Assistant General Manager, ERP"/>
    <d v="2023-08-16T00:00:00"/>
    <n v="45000"/>
    <m/>
    <s v="Refat Garments Ltd."/>
    <x v="2"/>
    <s v="MD/ Director"/>
    <m/>
    <n v="1"/>
  </r>
  <r>
    <n v="208"/>
    <x v="0"/>
    <x v="7"/>
    <s v="057473"/>
    <s v="Md. Alomgir Kabir"/>
    <x v="10"/>
    <x v="2"/>
    <x v="2"/>
    <s v="General Manager, Human Resources"/>
    <d v="2023-08-01T00:00:00"/>
    <n v="34000"/>
    <m/>
    <s v="Casual Garments Ltd."/>
    <x v="3"/>
    <s v="MD/ Director"/>
    <m/>
    <n v="1"/>
  </r>
  <r>
    <n v="209"/>
    <x v="0"/>
    <x v="7"/>
    <s v="059257"/>
    <s v="Nahiduz Zaman"/>
    <x v="5"/>
    <x v="2"/>
    <x v="2"/>
    <s v="General Manager, Human Resources"/>
    <d v="2023-08-16T00:00:00"/>
    <n v="28000"/>
    <m/>
    <s v="Creative Collection Ltd."/>
    <x v="0"/>
    <s v="MD/ Director"/>
    <m/>
    <n v="1"/>
  </r>
  <r>
    <n v="210"/>
    <x v="0"/>
    <x v="7"/>
    <s v="059255"/>
    <s v="Md. Habibur Rohman Rasel"/>
    <x v="5"/>
    <x v="2"/>
    <x v="3"/>
    <s v="Deputy General Manager, Human Resources"/>
    <d v="2023-08-16T00:00:00"/>
    <n v="25000"/>
    <m/>
    <s v="Ha-Meem Denim Ltd."/>
    <x v="3"/>
    <s v="MD/ Director"/>
    <m/>
    <n v="1"/>
  </r>
  <r>
    <n v="211"/>
    <x v="0"/>
    <x v="7"/>
    <s v="059279"/>
    <s v="Tapan Chandra Dhali"/>
    <x v="8"/>
    <x v="2"/>
    <x v="0"/>
    <s v="Assistant General Manager, Human Resources"/>
    <d v="2023-08-16T00:00:00"/>
    <n v="18000"/>
    <m/>
    <s v="Apparel Gallery Ltd."/>
    <x v="3"/>
    <s v="MD/ Director"/>
    <m/>
    <n v="1"/>
  </r>
  <r>
    <n v="212"/>
    <x v="0"/>
    <x v="7"/>
    <s v="059262"/>
    <s v="Moin Uddin Siddique"/>
    <x v="0"/>
    <x v="16"/>
    <x v="1"/>
    <s v="Executive Director, Information Technology"/>
    <d v="2023-08-16T00:00:00"/>
    <n v="300000"/>
    <m/>
    <s v="That's It Sports Wear Ltd."/>
    <x v="2"/>
    <s v="MD/ Director"/>
    <m/>
    <n v="1"/>
  </r>
  <r>
    <n v="213"/>
    <x v="0"/>
    <x v="7"/>
    <s v="057517"/>
    <s v="Md. Baki Billah"/>
    <x v="40"/>
    <x v="15"/>
    <x v="1"/>
    <s v="Assistant General Manager, Information Technology"/>
    <d v="2023-08-01T00:00:00"/>
    <n v="25000"/>
    <m/>
    <s v="Refat Garments Ltd."/>
    <x v="3"/>
    <s v="MD/ Director"/>
    <m/>
    <n v="1"/>
  </r>
  <r>
    <n v="214"/>
    <x v="0"/>
    <x v="7"/>
    <s v="057489"/>
    <s v="Md. Shohel Rana"/>
    <x v="41"/>
    <x v="15"/>
    <x v="1"/>
    <s v="Director"/>
    <d v="2023-08-01T00:00:00"/>
    <n v="325000"/>
    <m/>
    <s v="Refat Garments Ltd."/>
    <x v="2"/>
    <s v="MD/ Director"/>
    <m/>
    <n v="1"/>
  </r>
  <r>
    <n v="215"/>
    <x v="0"/>
    <x v="7"/>
    <s v="057462"/>
    <s v="Kasun Thilanka Somasiri Andra Hennadige"/>
    <x v="0"/>
    <x v="6"/>
    <x v="0"/>
    <s v="Director"/>
    <d v="2023-07-29T00:00:00"/>
    <m/>
    <n v="3500"/>
    <s v="That's It Sports Wear Ltd."/>
    <x v="1"/>
    <s v="MD/ Director"/>
    <m/>
    <n v="1"/>
  </r>
  <r>
    <n v="216"/>
    <x v="0"/>
    <x v="7"/>
    <s v="059399"/>
    <s v="Md. Kawsher Ahmed Director"/>
    <x v="13"/>
    <x v="6"/>
    <x v="2"/>
    <s v="General Manager, Merchandising"/>
    <d v="2023-08-16T00:00:00"/>
    <n v="48000"/>
    <m/>
    <s v="Creative Collection Ltd."/>
    <x v="3"/>
    <s v="MD/ Director"/>
    <m/>
    <n v="1"/>
  </r>
  <r>
    <n v="217"/>
    <x v="0"/>
    <x v="7"/>
    <s v="059390"/>
    <s v="Mir Sawkath Hossain"/>
    <x v="12"/>
    <x v="6"/>
    <x v="2"/>
    <s v="General Manager, Merchandising"/>
    <d v="2023-08-16T00:00:00"/>
    <n v="62000"/>
    <m/>
    <s v="Creative Collection Ltd."/>
    <x v="0"/>
    <s v="MD/ Director"/>
    <m/>
    <n v="1"/>
  </r>
  <r>
    <n v="218"/>
    <x v="0"/>
    <x v="7"/>
    <s v="059118"/>
    <s v="Ali Reza Azad"/>
    <x v="25"/>
    <x v="6"/>
    <x v="2"/>
    <s v="General Manager, Merchandising"/>
    <d v="2023-08-07T00:00:00"/>
    <n v="68000"/>
    <m/>
    <s v="That's It Sports Wear Ltd."/>
    <x v="3"/>
    <s v="MD/ Director"/>
    <m/>
    <n v="1"/>
  </r>
  <r>
    <n v="219"/>
    <x v="0"/>
    <x v="7"/>
    <s v="059401"/>
    <s v="Samiul Bin Sakib"/>
    <x v="26"/>
    <x v="6"/>
    <x v="2"/>
    <s v="General Manager, Merchandising"/>
    <d v="2023-08-16T00:00:00"/>
    <n v="20000"/>
    <m/>
    <s v="Creative Collection Ltd."/>
    <x v="3"/>
    <s v="MD/ Director"/>
    <m/>
    <n v="1"/>
  </r>
  <r>
    <n v="220"/>
    <x v="0"/>
    <x v="7"/>
    <s v="059393"/>
    <s v="Hisma Sumait Arpa"/>
    <x v="26"/>
    <x v="6"/>
    <x v="2"/>
    <s v="General Manager, Merchandising"/>
    <d v="2023-08-16T00:00:00"/>
    <n v="20000"/>
    <m/>
    <s v="Creative Collection Ltd."/>
    <x v="3"/>
    <s v="MD/ Director"/>
    <m/>
    <n v="1"/>
  </r>
  <r>
    <n v="221"/>
    <x v="0"/>
    <x v="7"/>
    <s v="059281"/>
    <s v="Md. Tanvir Kamal"/>
    <x v="26"/>
    <x v="6"/>
    <x v="1"/>
    <s v="Senior General Manager, Merchandising"/>
    <d v="2023-08-16T00:00:00"/>
    <n v="20000"/>
    <m/>
    <s v="Refat Garments Ltd."/>
    <x v="3"/>
    <s v="MD/ Director"/>
    <m/>
    <n v="1"/>
  </r>
  <r>
    <n v="222"/>
    <x v="0"/>
    <x v="7"/>
    <s v="059287"/>
    <s v="Ahmed Zobaier Sourav"/>
    <x v="26"/>
    <x v="6"/>
    <x v="1"/>
    <s v="Senior General Manager, Merchandising"/>
    <d v="2023-08-16T00:00:00"/>
    <n v="20000"/>
    <m/>
    <s v="Creative Collection Ltd."/>
    <x v="3"/>
    <s v="MD/ Director"/>
    <m/>
    <n v="1"/>
  </r>
  <r>
    <n v="223"/>
    <x v="0"/>
    <x v="7"/>
    <s v="059284"/>
    <s v="Suzana Abed "/>
    <x v="26"/>
    <x v="6"/>
    <x v="1"/>
    <s v="Senior General Manager, Merchandising"/>
    <d v="2023-08-16T00:00:00"/>
    <n v="20000"/>
    <m/>
    <s v="Apparel Gallery Ltd."/>
    <x v="3"/>
    <s v="MD/ Director"/>
    <m/>
    <n v="1"/>
  </r>
  <r>
    <n v="224"/>
    <x v="0"/>
    <x v="7"/>
    <s v="059521"/>
    <s v="Md. Ashfiqur Rahman"/>
    <x v="5"/>
    <x v="10"/>
    <x v="1"/>
    <s v="Deputy General Manager, Procurement &amp; Development"/>
    <d v="2023-08-20T00:00:00"/>
    <n v="20000"/>
    <m/>
    <s v="Refat Garments Ltd."/>
    <x v="3"/>
    <s v="MD/ Director"/>
    <m/>
    <n v="1"/>
  </r>
  <r>
    <n v="225"/>
    <x v="0"/>
    <x v="7"/>
    <s v="059621"/>
    <s v="Probash Kumar Paul"/>
    <x v="0"/>
    <x v="0"/>
    <x v="0"/>
    <s v="Executive Director, Ashulia"/>
    <d v="2023-08-21T00:00:00"/>
    <n v="170000"/>
    <m/>
    <s v="Apparel Gallery Ltd."/>
    <x v="3"/>
    <s v="MD/ Director"/>
    <m/>
    <n v="1"/>
  </r>
  <r>
    <n v="226"/>
    <x v="0"/>
    <x v="7"/>
    <s v="057772"/>
    <s v="Milan Ranjana Gunathilake Herath Mudiyanselage"/>
    <x v="0"/>
    <x v="1"/>
    <x v="0"/>
    <s v="Director"/>
    <d v="2023-08-05T00:00:00"/>
    <m/>
    <n v="2500"/>
    <s v="Refat Garments Ltd."/>
    <x v="1"/>
    <s v="MD/ Director"/>
    <m/>
    <n v="1"/>
  </r>
  <r>
    <n v="227"/>
    <x v="0"/>
    <x v="7"/>
    <s v="057771"/>
    <s v="Saranga Ashoka Bandara Kiridena"/>
    <x v="42"/>
    <x v="1"/>
    <x v="0"/>
    <s v="Director"/>
    <d v="2023-08-06T00:00:00"/>
    <m/>
    <n v="3500"/>
    <s v="Refat Garments Ltd."/>
    <x v="1"/>
    <s v="MD/ Director"/>
    <m/>
    <n v="1"/>
  </r>
  <r>
    <n v="228"/>
    <x v="0"/>
    <x v="7"/>
    <s v="057439"/>
    <s v="Dasagir Ahmed Sagor"/>
    <x v="15"/>
    <x v="3"/>
    <x v="10"/>
    <s v="General Manager, Admin"/>
    <d v="2023-07-19T00:00:00"/>
    <n v="10775"/>
    <m/>
    <s v="Fauji Chat Kal Ltd."/>
    <x v="3"/>
    <s v="MD/ Director"/>
    <m/>
    <n v="1"/>
  </r>
  <r>
    <n v="229"/>
    <x v="0"/>
    <x v="7"/>
    <s v="057437"/>
    <s v="Md. Yeasin Molla"/>
    <x v="15"/>
    <x v="3"/>
    <x v="10"/>
    <s v="General Manager, Admin"/>
    <d v="2023-07-19T00:00:00"/>
    <n v="10775"/>
    <m/>
    <s v="Fauji Chat Kal Ltd."/>
    <x v="3"/>
    <s v="MD/ Director"/>
    <m/>
    <n v="1"/>
  </r>
  <r>
    <n v="230"/>
    <x v="0"/>
    <x v="7"/>
    <s v="057470"/>
    <s v="Md. Rifat Hasan Nahid"/>
    <x v="16"/>
    <x v="3"/>
    <x v="1"/>
    <s v="General Manager, Admin"/>
    <d v="2023-08-01T00:00:00"/>
    <n v="10775"/>
    <m/>
    <s v="Artistic Design Ltd."/>
    <x v="3"/>
    <s v="MD/ Director"/>
    <m/>
    <n v="1"/>
  </r>
  <r>
    <n v="231"/>
    <x v="0"/>
    <x v="7"/>
    <s v="057697"/>
    <s v="Al-Amin"/>
    <x v="15"/>
    <x v="3"/>
    <x v="10"/>
    <s v="General Manager, Admin"/>
    <d v="2023-08-05T00:00:00"/>
    <n v="10775"/>
    <m/>
    <s v="Fauji Chat Kal"/>
    <x v="3"/>
    <s v="MD/ Director"/>
    <m/>
    <n v="1"/>
  </r>
  <r>
    <n v="232"/>
    <x v="0"/>
    <x v="7"/>
    <s v="057549"/>
    <s v="Giash Uddin Nirob"/>
    <x v="12"/>
    <x v="6"/>
    <x v="2"/>
    <s v="Deputy General Manager, Merchandising"/>
    <d v="2023-08-01T00:00:00"/>
    <n v="50000"/>
    <m/>
    <s v="Creative Collection Ltd."/>
    <x v="0"/>
    <s v="MD/ Director"/>
    <m/>
    <n v="1"/>
  </r>
  <r>
    <n v="233"/>
    <x v="0"/>
    <x v="8"/>
    <s v="059865"/>
    <s v="Sohel Gaji"/>
    <x v="17"/>
    <x v="3"/>
    <x v="1"/>
    <s v="GM, Admin"/>
    <d v="2023-09-02T00:00:00"/>
    <n v="15000"/>
    <m/>
    <s v="Refat Garments Ltd."/>
    <x v="3"/>
    <s v="MD/ Director"/>
    <m/>
    <n v="1"/>
  </r>
  <r>
    <n v="234"/>
    <x v="0"/>
    <x v="8"/>
    <s v="060532"/>
    <s v="Solaiman"/>
    <x v="30"/>
    <x v="3"/>
    <x v="1"/>
    <s v="GM, Admin"/>
    <d v="2023-09-05T00:00:00"/>
    <n v="18000"/>
    <m/>
    <s v="Refat Garments Ltd."/>
    <x v="0"/>
    <s v="MD/ Director"/>
    <m/>
    <n v="1"/>
  </r>
  <r>
    <n v="235"/>
    <x v="0"/>
    <x v="8"/>
    <s v="059870"/>
    <s v="Syed Abu Sadat Mohammed Sayem"/>
    <x v="5"/>
    <x v="4"/>
    <x v="1"/>
    <s v="Deputy General Manager, Commercial"/>
    <d v="2023-09-02T00:00:00"/>
    <n v="25000"/>
    <m/>
    <s v="Ha-Meem Textiles Ltd."/>
    <x v="3"/>
    <s v="MD/ Director"/>
    <m/>
    <n v="1"/>
  </r>
  <r>
    <n v="236"/>
    <x v="0"/>
    <x v="8"/>
    <s v="062349"/>
    <s v="Md. Mehedi Hasan"/>
    <x v="10"/>
    <x v="4"/>
    <x v="1"/>
    <s v="DGM, Commercial"/>
    <d v="2023-09-16T00:00:00"/>
    <n v="42000"/>
    <m/>
    <s v="Ha-Meem Textiles Ltd."/>
    <x v="3"/>
    <s v="MD/ Director"/>
    <m/>
    <n v="1"/>
  </r>
  <r>
    <n v="237"/>
    <x v="0"/>
    <x v="8"/>
    <s v="062568"/>
    <s v="Md. Ariful Hoque Rian"/>
    <x v="34"/>
    <x v="13"/>
    <x v="2"/>
    <s v="Assistant Manager, Design Studio"/>
    <d v="2023-09-17T00:00:00"/>
    <n v="20000"/>
    <m/>
    <s v="Creative Collection Ltd."/>
    <x v="3"/>
    <s v="MD/ Director"/>
    <m/>
    <n v="1"/>
  </r>
  <r>
    <n v="238"/>
    <x v="0"/>
    <x v="8"/>
    <s v="059868"/>
    <s v="Tanjila Tabasum"/>
    <x v="34"/>
    <x v="13"/>
    <x v="1"/>
    <s v="Assistant General Manager, Design &amp; Development"/>
    <d v="2023-09-02T00:00:00"/>
    <n v="20000"/>
    <m/>
    <s v="Apparel Gallery Ltd."/>
    <x v="3"/>
    <s v="MD/ Director"/>
    <m/>
    <n v="1"/>
  </r>
  <r>
    <n v="239"/>
    <x v="0"/>
    <x v="8"/>
    <s v="062342"/>
    <s v="Md. Shafiul Alam"/>
    <x v="35"/>
    <x v="13"/>
    <x v="1"/>
    <s v="General Manager, Design &amp; Development"/>
    <d v="2023-09-16T00:00:00"/>
    <n v="50000"/>
    <m/>
    <s v="Refat Garments Ltd."/>
    <x v="3"/>
    <s v="MD/ Director"/>
    <m/>
    <n v="1"/>
  </r>
  <r>
    <n v="240"/>
    <x v="0"/>
    <x v="8"/>
    <s v="059862"/>
    <s v="Shapla Sultana"/>
    <x v="5"/>
    <x v="9"/>
    <x v="3"/>
    <s v="GM, Engineering"/>
    <d v="2023-09-02T00:00:00"/>
    <n v="25000"/>
    <m/>
    <s v="Creative Collection Ltd."/>
    <x v="2"/>
    <s v="MD/ Director"/>
    <m/>
    <n v="1"/>
  </r>
  <r>
    <n v="241"/>
    <x v="0"/>
    <x v="8"/>
    <s v="062795"/>
    <s v="Mahmood"/>
    <x v="10"/>
    <x v="12"/>
    <x v="1"/>
    <s v="Assistant General Manager, ERP"/>
    <d v="2023-09-20T00:00:00"/>
    <n v="45000"/>
    <m/>
    <s v="Refat Garments Ltd."/>
    <x v="2"/>
    <s v="MD/ Director"/>
    <m/>
    <n v="1"/>
  </r>
  <r>
    <n v="242"/>
    <x v="0"/>
    <x v="8"/>
    <s v="059698"/>
    <s v="A.K.M. Mohiuddin"/>
    <x v="11"/>
    <x v="12"/>
    <x v="1"/>
    <s v="Assistant General Manager, ERP"/>
    <d v="2023-08-22T00:00:00"/>
    <n v="85000"/>
    <m/>
    <s v="Ha-Meem Spinning Mills Ltd."/>
    <x v="3"/>
    <s v="MD/ Director"/>
    <m/>
    <n v="1"/>
  </r>
  <r>
    <n v="243"/>
    <x v="0"/>
    <x v="8"/>
    <s v="059860"/>
    <s v="Md. Zakaria Hossain"/>
    <x v="9"/>
    <x v="12"/>
    <x v="1"/>
    <s v="Asssitant General Manager, ERP"/>
    <d v="2023-09-02T00:00:00"/>
    <n v="65000"/>
    <m/>
    <s v="Refat Garments Ltd."/>
    <x v="0"/>
    <s v="MD/ Director"/>
    <m/>
    <n v="1"/>
  </r>
  <r>
    <n v="244"/>
    <x v="0"/>
    <x v="8"/>
    <s v="059871"/>
    <s v="Zahidul Islam"/>
    <x v="5"/>
    <x v="8"/>
    <x v="1"/>
    <s v="General Manager, Finance &amp; Accounts"/>
    <d v="2023-09-02T00:00:00"/>
    <n v="26000"/>
    <m/>
    <s v="Refat Garments Ltd."/>
    <x v="3"/>
    <s v="MD/ Director"/>
    <m/>
    <n v="1"/>
  </r>
  <r>
    <n v="245"/>
    <x v="0"/>
    <x v="8"/>
    <s v="059863"/>
    <s v="A.S.M. Abdul Gofur"/>
    <x v="5"/>
    <x v="2"/>
    <x v="0"/>
    <s v="Assistant General Manager, Ashulia"/>
    <d v="2023-09-02T00:00:00"/>
    <n v="22000"/>
    <m/>
    <s v="Shahzaib Washing &amp; Dyeing Ltd."/>
    <x v="3"/>
    <s v="MD/ Director"/>
    <m/>
    <n v="1"/>
  </r>
  <r>
    <n v="246"/>
    <x v="0"/>
    <x v="8"/>
    <s v="062320"/>
    <s v="Sanoar Sany"/>
    <x v="10"/>
    <x v="2"/>
    <x v="3"/>
    <s v="Deputy General Manager, Human Resources"/>
    <d v="2023-09-16T00:00:00"/>
    <n v="35000"/>
    <m/>
    <s v="Ha-Meem Denim Ltd."/>
    <x v="3"/>
    <s v="MD/ Director"/>
    <m/>
    <n v="1"/>
  </r>
  <r>
    <n v="247"/>
    <x v="0"/>
    <x v="8"/>
    <s v="062318"/>
    <s v="Md. Mehedi Murad Munshi"/>
    <x v="10"/>
    <x v="2"/>
    <x v="3"/>
    <s v="Deputy General Manager, Human Resources"/>
    <d v="2023-09-16T00:00:00"/>
    <n v="33000"/>
    <m/>
    <s v="Ha-Meem Textiles Ltd."/>
    <x v="3"/>
    <s v="MD/ Director"/>
    <m/>
    <n v="1"/>
  </r>
  <r>
    <n v="248"/>
    <x v="0"/>
    <x v="8"/>
    <s v="062326"/>
    <s v="Kaicobad Hassan"/>
    <x v="43"/>
    <x v="15"/>
    <x v="1"/>
    <s v="Assistant General Manager, Information Technology"/>
    <d v="2023-09-16T00:00:00"/>
    <n v="50000"/>
    <m/>
    <s v="Refat Garments Ltd."/>
    <x v="3"/>
    <s v="MD/ Director"/>
    <m/>
    <n v="1"/>
  </r>
  <r>
    <n v="249"/>
    <x v="0"/>
    <x v="8"/>
    <s v="062292"/>
    <s v="Md. Rezaul Karim Bishwas"/>
    <x v="24"/>
    <x v="6"/>
    <x v="0"/>
    <s v="Executive Director, NCL"/>
    <d v="2023-09-16T00:00:00"/>
    <n v="240000"/>
    <m/>
    <s v="Next Collections Ltd."/>
    <x v="2"/>
    <s v="MD/ Director"/>
    <m/>
    <n v="1"/>
  </r>
  <r>
    <n v="250"/>
    <x v="0"/>
    <x v="8"/>
    <s v="062804"/>
    <s v="Minhaj Shawon"/>
    <x v="44"/>
    <x v="6"/>
    <x v="1"/>
    <s v="Senior General Manager, Merchandising"/>
    <d v="2023-09-20T00:00:00"/>
    <n v="15000"/>
    <m/>
    <s v="Artistic Design Ltd."/>
    <x v="3"/>
    <s v="MD/ Director"/>
    <m/>
    <n v="1"/>
  </r>
  <r>
    <n v="251"/>
    <x v="0"/>
    <x v="8"/>
    <s v="062808"/>
    <s v="Mohammad Naimul Islam"/>
    <x v="26"/>
    <x v="6"/>
    <x v="1"/>
    <s v="Senior General Manager, Merchandising"/>
    <d v="2023-09-20T00:00:00"/>
    <n v="20000"/>
    <m/>
    <s v="Creative Collection Ltd."/>
    <x v="3"/>
    <s v="MD/ Director"/>
    <m/>
    <n v="1"/>
  </r>
  <r>
    <n v="252"/>
    <x v="0"/>
    <x v="8"/>
    <s v="062809"/>
    <s v="Sagur Mahamod"/>
    <x v="26"/>
    <x v="6"/>
    <x v="1"/>
    <s v="Senior General Manager, Merchandising"/>
    <d v="2023-09-20T00:00:00"/>
    <n v="20000"/>
    <m/>
    <s v="Refat Garments Ltd."/>
    <x v="3"/>
    <s v="MD/ Director"/>
    <m/>
    <n v="1"/>
  </r>
  <r>
    <n v="253"/>
    <x v="0"/>
    <x v="8"/>
    <s v="061358"/>
    <s v="Rahul Bhowmick"/>
    <x v="5"/>
    <x v="10"/>
    <x v="1"/>
    <s v="Deputy General Manager, Procurement &amp; Development"/>
    <d v="2023-09-10T00:00:00"/>
    <n v="25000"/>
    <m/>
    <s v="Refat Garments Ltd."/>
    <x v="3"/>
    <s v="MD/ Director"/>
    <m/>
    <n v="1"/>
  </r>
  <r>
    <n v="254"/>
    <x v="0"/>
    <x v="8"/>
    <s v="059805"/>
    <s v="Koddithuwakku Aratchige Chamindra Rajitha Angulugaha"/>
    <x v="0"/>
    <x v="1"/>
    <x v="0"/>
    <s v="Director"/>
    <d v="2023-08-31T00:00:00"/>
    <n v="240000"/>
    <m/>
    <s v="Refat Garments Ltd."/>
    <x v="1"/>
    <s v="MD/ Director"/>
    <m/>
    <n v="1"/>
  </r>
  <r>
    <n v="255"/>
    <x v="0"/>
    <x v="8"/>
    <s v="059787"/>
    <s v="Robiul Alom"/>
    <x v="15"/>
    <x v="3"/>
    <x v="7"/>
    <s v="General Manager, Admin"/>
    <d v="2023-08-27T00:00:00"/>
    <n v="10775"/>
    <m/>
    <s v="Refat Garments Ltd."/>
    <x v="2"/>
    <s v="MD/ Director"/>
    <m/>
    <n v="1"/>
  </r>
  <r>
    <n v="256"/>
    <x v="0"/>
    <x v="8"/>
    <s v="059788"/>
    <s v="Md. Sumon Howlader"/>
    <x v="15"/>
    <x v="3"/>
    <x v="7"/>
    <s v="General Manager, Admin"/>
    <d v="2023-08-27T00:00:00"/>
    <n v="10775"/>
    <m/>
    <s v="Refat Garments Ltd."/>
    <x v="2"/>
    <s v="MD/ Director"/>
    <m/>
    <n v="1"/>
  </r>
  <r>
    <n v="257"/>
    <x v="0"/>
    <x v="8"/>
    <s v="059864"/>
    <s v="Roton Kumar Biswas"/>
    <x v="15"/>
    <x v="3"/>
    <x v="7"/>
    <s v="General Manager, Admin"/>
    <d v="2023-09-02T00:00:00"/>
    <n v="10775"/>
    <m/>
    <s v="Refat Garments Ltd."/>
    <x v="2"/>
    <s v="MD/ Director"/>
    <m/>
    <n v="1"/>
  </r>
  <r>
    <n v="258"/>
    <x v="0"/>
    <x v="8"/>
    <s v="062337"/>
    <s v="Najir Hossain"/>
    <x v="45"/>
    <x v="3"/>
    <x v="1"/>
    <s v="General Manager, Admin"/>
    <d v="2023-09-16T00:00:00"/>
    <n v="15000"/>
    <m/>
    <s v="Refat Garments Ltd."/>
    <x v="0"/>
    <s v="MD/ Director"/>
    <m/>
    <n v="1"/>
  </r>
  <r>
    <n v="259"/>
    <x v="0"/>
    <x v="8"/>
    <s v="062333"/>
    <s v="Md. Nayem"/>
    <x v="15"/>
    <x v="3"/>
    <x v="10"/>
    <s v="General Manager, Admin"/>
    <d v="2023-09-16T00:00:00"/>
    <n v="10775"/>
    <m/>
    <s v="Fauji Chat Kal Ltd."/>
    <x v="2"/>
    <s v="MD/ Director"/>
    <m/>
    <n v="1"/>
  </r>
  <r>
    <n v="260"/>
    <x v="0"/>
    <x v="8"/>
    <s v="062335"/>
    <s v="Md. Shohag"/>
    <x v="15"/>
    <x v="3"/>
    <x v="10"/>
    <s v="General Manager, Admin"/>
    <d v="2023-09-16T00:00:00"/>
    <n v="10775"/>
    <m/>
    <s v="Fauji Chat Kal Ltd."/>
    <x v="2"/>
    <s v="MD/ Director"/>
    <m/>
    <n v="1"/>
  </r>
  <r>
    <n v="261"/>
    <x v="0"/>
    <x v="8"/>
    <s v="060338"/>
    <s v="Abu Masud Khan"/>
    <x v="21"/>
    <x v="3"/>
    <x v="1"/>
    <s v="General Manager, Admin"/>
    <d v="2023-09-03T00:00:00"/>
    <n v="14000"/>
    <m/>
    <s v="Refat Garments Ltd."/>
    <x v="0"/>
    <s v="MD/ Director"/>
    <m/>
    <n v="1"/>
  </r>
  <r>
    <n v="262"/>
    <x v="0"/>
    <x v="9"/>
    <s v="066133"/>
    <s v="Masudur Rahman"/>
    <x v="0"/>
    <x v="0"/>
    <x v="0"/>
    <s v="Director/ Group DMD"/>
    <d v="2023-10-15T00:00:00"/>
    <n v="500000"/>
    <m/>
    <s v="Creative Wash Ltd."/>
    <x v="2"/>
    <s v="MD/ Director"/>
    <m/>
    <n v="1"/>
  </r>
  <r>
    <n v="263"/>
    <x v="0"/>
    <x v="9"/>
    <s v="065768"/>
    <s v="Abdullah Al Mamun"/>
    <x v="8"/>
    <x v="4"/>
    <x v="1"/>
    <s v="Deputy General Manager, Commercial"/>
    <d v="2023-10-15T00:00:00"/>
    <n v="20000"/>
    <m/>
    <s v="That's It Sports Wear Ltd."/>
    <x v="3"/>
    <s v="MD/ Director"/>
    <m/>
    <n v="1"/>
  </r>
  <r>
    <n v="264"/>
    <x v="0"/>
    <x v="9"/>
    <s v="065770"/>
    <s v="Sadman Tayin"/>
    <x v="8"/>
    <x v="4"/>
    <x v="1"/>
    <s v="Deputy General Manager, Commercial"/>
    <d v="2023-10-15T00:00:00"/>
    <n v="20000"/>
    <m/>
    <s v="Creative Collection Ltd."/>
    <x v="3"/>
    <s v="MD/ Director"/>
    <m/>
    <n v="1"/>
  </r>
  <r>
    <n v="265"/>
    <x v="0"/>
    <x v="9"/>
    <s v="063040"/>
    <s v="Md. Sazzad Hossain"/>
    <x v="5"/>
    <x v="4"/>
    <x v="1"/>
    <s v="Assistant General Manager, Commercial"/>
    <d v="2023-10-01T00:00:00"/>
    <n v="28000"/>
    <m/>
    <s v="Artistic Design Ltd."/>
    <x v="3"/>
    <s v="MD/ Director"/>
    <m/>
    <n v="1"/>
  </r>
  <r>
    <n v="266"/>
    <x v="0"/>
    <x v="9"/>
    <s v="065762"/>
    <s v="Tarif Md. Saif"/>
    <x v="35"/>
    <x v="13"/>
    <x v="1"/>
    <s v="General Manager, Design &amp; Development"/>
    <d v="2023-10-15T00:00:00"/>
    <n v="45000"/>
    <m/>
    <s v="Refat Garments Ltd."/>
    <x v="0"/>
    <s v="MD/ Director"/>
    <m/>
    <n v="1"/>
  </r>
  <r>
    <n v="267"/>
    <x v="0"/>
    <x v="9"/>
    <s v="065904"/>
    <s v="Md. Tanjirul Islam Tamal"/>
    <x v="35"/>
    <x v="13"/>
    <x v="2"/>
    <s v="Assistant Manager, Design &amp; Development"/>
    <d v="2023-10-15T00:00:00"/>
    <n v="42000"/>
    <m/>
    <s v="Creative Collection Ltd."/>
    <x v="3"/>
    <s v="MD/ Director"/>
    <m/>
    <n v="1"/>
  </r>
  <r>
    <n v="268"/>
    <x v="0"/>
    <x v="9"/>
    <s v="066267"/>
    <s v="Md. Aslam Hossain"/>
    <x v="24"/>
    <x v="8"/>
    <x v="1"/>
    <s v="Executive Director, Finance &amp; Accounts"/>
    <d v="2023-10-22T00:00:00"/>
    <n v="230000"/>
    <m/>
    <s v="Ha-Meem Denim Ltd."/>
    <x v="3"/>
    <s v="MD/ Director"/>
    <m/>
    <n v="1"/>
  </r>
  <r>
    <n v="269"/>
    <x v="0"/>
    <x v="9"/>
    <s v="065751"/>
    <s v="Md. Sihab-Al-Ahasan Sopnil"/>
    <x v="46"/>
    <x v="9"/>
    <x v="0"/>
    <s v="General Manager, Engineering"/>
    <d v="2023-10-15T00:00:00"/>
    <n v="22000"/>
    <m/>
    <s v="That's It Sports Wear Ltd."/>
    <x v="3"/>
    <s v="MD/ Director"/>
    <m/>
    <n v="1"/>
  </r>
  <r>
    <n v="270"/>
    <x v="0"/>
    <x v="9"/>
    <s v="065749"/>
    <s v="Rahat Ahmed Raju"/>
    <x v="47"/>
    <x v="9"/>
    <x v="0"/>
    <s v="General Manager, Engineering"/>
    <d v="2023-10-15T00:00:00"/>
    <n v="24000"/>
    <m/>
    <s v="Artistic Design Ltd."/>
    <x v="3"/>
    <s v="MD/ Director"/>
    <m/>
    <n v="1"/>
  </r>
  <r>
    <n v="271"/>
    <x v="0"/>
    <x v="9"/>
    <s v="063048"/>
    <s v="K.M Tonmoy Ahasan"/>
    <x v="8"/>
    <x v="2"/>
    <x v="0"/>
    <s v="Assistant General Manager, Human Resources"/>
    <d v="2023-10-01T00:00:00"/>
    <n v="18000"/>
    <m/>
    <s v="Artistic Design Ltd."/>
    <x v="3"/>
    <s v="MD/ Director"/>
    <m/>
    <n v="1"/>
  </r>
  <r>
    <n v="272"/>
    <x v="0"/>
    <x v="9"/>
    <s v="063023"/>
    <s v="Md. Sourab Hossain"/>
    <x v="5"/>
    <x v="2"/>
    <x v="0"/>
    <s v="Assistant General Manager, Human Resources"/>
    <d v="2023-10-01T00:00:00"/>
    <n v="20000"/>
    <m/>
    <s v="That's It Sports Wear Ltd."/>
    <x v="0"/>
    <s v="MD/ Director"/>
    <m/>
    <n v="1"/>
  </r>
  <r>
    <n v="273"/>
    <x v="0"/>
    <x v="9"/>
    <s v="063031"/>
    <s v="Yeasin Ahamed Shuvo"/>
    <x v="5"/>
    <x v="2"/>
    <x v="0"/>
    <s v="Assistant General Manager, Human Resources"/>
    <d v="2023-10-01T00:00:00"/>
    <n v="20000"/>
    <m/>
    <s v="That's It Sports Wear Ltd."/>
    <x v="0"/>
    <s v="MD/ Director"/>
    <m/>
    <n v="1"/>
  </r>
  <r>
    <n v="274"/>
    <x v="0"/>
    <x v="9"/>
    <s v="063018"/>
    <s v="Masrakul Azam Rabi"/>
    <x v="48"/>
    <x v="19"/>
    <x v="0"/>
    <s v="Group DMD"/>
    <d v="2023-10-01T00:00:00"/>
    <n v="300000"/>
    <m/>
    <s v="Artistic Design Ltd."/>
    <x v="2"/>
    <s v="MD/ Director"/>
    <m/>
    <n v="1"/>
  </r>
  <r>
    <n v="275"/>
    <x v="0"/>
    <x v="9"/>
    <s v="065746"/>
    <s v="Fakhrul Islam"/>
    <x v="5"/>
    <x v="20"/>
    <x v="1"/>
    <s v="Executive Director, Legal"/>
    <d v="2023-10-15T00:00:00"/>
    <n v="22000"/>
    <m/>
    <s v="Refat Garments Ltd."/>
    <x v="3"/>
    <s v="MD/ Director"/>
    <m/>
    <n v="1"/>
  </r>
  <r>
    <n v="276"/>
    <x v="0"/>
    <x v="9"/>
    <s v="065902"/>
    <s v="Ashfaqur Rahman"/>
    <x v="12"/>
    <x v="6"/>
    <x v="2"/>
    <s v="General Manager, Merchandising"/>
    <d v="2023-10-15T00:00:00"/>
    <n v="45000"/>
    <m/>
    <s v="Creative Collection Ltd."/>
    <x v="3"/>
    <s v="MD/ Director"/>
    <m/>
    <n v="1"/>
  </r>
  <r>
    <n v="277"/>
    <x v="0"/>
    <x v="9"/>
    <s v="065903"/>
    <s v="Nasrin Sultana"/>
    <x v="26"/>
    <x v="6"/>
    <x v="2"/>
    <s v="General Manager, Merchandising"/>
    <d v="2023-10-15T00:00:00"/>
    <n v="20000"/>
    <m/>
    <s v="Creative Collection Ltd."/>
    <x v="3"/>
    <s v="MD/ Director"/>
    <m/>
    <n v="1"/>
  </r>
  <r>
    <n v="278"/>
    <x v="0"/>
    <x v="9"/>
    <s v="063036"/>
    <s v="Farjana Akter"/>
    <x v="26"/>
    <x v="6"/>
    <x v="1"/>
    <s v="Assistant General Manager, Merchandising"/>
    <d v="2023-10-01T00:00:00"/>
    <n v="20000"/>
    <m/>
    <s v="Artistic Design Ltd."/>
    <x v="3"/>
    <s v="MD/ Director"/>
    <m/>
    <n v="1"/>
  </r>
  <r>
    <n v="279"/>
    <x v="0"/>
    <x v="9"/>
    <s v="065769"/>
    <s v="Sharmin Jahan"/>
    <x v="26"/>
    <x v="6"/>
    <x v="1"/>
    <s v="Assistant General Manager, Merchandising"/>
    <d v="2023-10-15T00:00:00"/>
    <n v="20000"/>
    <m/>
    <s v="Refat Garments Ltd."/>
    <x v="3"/>
    <s v="MD/ Director"/>
    <m/>
    <n v="1"/>
  </r>
  <r>
    <n v="280"/>
    <x v="0"/>
    <x v="9"/>
    <s v="065765"/>
    <s v="Mehedi Hasan Robin"/>
    <x v="26"/>
    <x v="6"/>
    <x v="1"/>
    <s v="Assistant General Manager, Merchandising"/>
    <d v="2023-10-15T00:00:00"/>
    <n v="20000"/>
    <m/>
    <s v="Refat Garments Ltd."/>
    <x v="0"/>
    <s v="MD/ Director"/>
    <m/>
    <n v="1"/>
  </r>
  <r>
    <n v="281"/>
    <x v="0"/>
    <x v="9"/>
    <s v="A43343"/>
    <s v="Shadin Mia"/>
    <x v="49"/>
    <x v="6"/>
    <x v="1"/>
    <s v="Manager, Merchandising"/>
    <d v="2023-10-10T00:00:00"/>
    <n v="18000"/>
    <m/>
    <s v="Artistic Design Ltd."/>
    <x v="3"/>
    <s v="MD/ Director"/>
    <m/>
    <n v="1"/>
  </r>
  <r>
    <n v="282"/>
    <x v="0"/>
    <x v="9"/>
    <s v="065737"/>
    <s v="Mohammad Ali"/>
    <x v="47"/>
    <x v="18"/>
    <x v="1"/>
    <s v="Head of Power &amp; Energy"/>
    <d v="2023-10-15T00:00:00"/>
    <n v="15000"/>
    <m/>
    <s v="Refat Garments Ltd."/>
    <x v="0"/>
    <s v="MD/ Director"/>
    <m/>
    <n v="1"/>
  </r>
  <r>
    <n v="283"/>
    <x v="0"/>
    <x v="9"/>
    <s v="065736"/>
    <s v="Md. Tawhidul Islam"/>
    <x v="47"/>
    <x v="18"/>
    <x v="1"/>
    <s v="Head of Power &amp; Energy"/>
    <d v="2023-10-15T00:00:00"/>
    <n v="15000"/>
    <m/>
    <s v="Refat Garments Ltd."/>
    <x v="3"/>
    <s v="MD/ Director"/>
    <m/>
    <n v="1"/>
  </r>
  <r>
    <n v="284"/>
    <x v="0"/>
    <x v="9"/>
    <s v="065759"/>
    <s v="A.R.M Shaikat"/>
    <x v="8"/>
    <x v="18"/>
    <x v="1"/>
    <s v="Head of Power &amp; Energy"/>
    <d v="2023-10-15T00:00:00"/>
    <n v="15000"/>
    <m/>
    <s v="Apparel Gallery Ltd."/>
    <x v="0"/>
    <s v="MD/ Director"/>
    <m/>
    <n v="1"/>
  </r>
  <r>
    <n v="285"/>
    <x v="0"/>
    <x v="9"/>
    <s v="065753"/>
    <s v="Khan Md. Fazlul Huq"/>
    <x v="9"/>
    <x v="18"/>
    <x v="1"/>
    <s v="Head of Power &amp; Energy"/>
    <d v="2023-10-15T00:00:00"/>
    <n v="65000"/>
    <m/>
    <s v="Refat Garments Ltd."/>
    <x v="3"/>
    <s v="MD/ Director"/>
    <m/>
    <n v="1"/>
  </r>
  <r>
    <n v="286"/>
    <x v="0"/>
    <x v="9"/>
    <s v="063045"/>
    <s v="Sk Murad Hossain"/>
    <x v="5"/>
    <x v="3"/>
    <x v="1"/>
    <s v="General Manager, Admin"/>
    <d v="2023-10-01T00:00:00"/>
    <n v="25000"/>
    <m/>
    <s v="Next Collection Ltd."/>
    <x v="3"/>
    <s v="MD/ Director"/>
    <m/>
    <n v="1"/>
  </r>
  <r>
    <n v="287"/>
    <x v="0"/>
    <x v="9"/>
    <s v="066266"/>
    <s v="Md. Dulal Miah"/>
    <x v="15"/>
    <x v="3"/>
    <x v="10"/>
    <s v="General Manager, Admin"/>
    <d v="2023-09-18T00:00:00"/>
    <n v="10775"/>
    <m/>
    <s v="Fauji Chat Kal Ltd."/>
    <x v="1"/>
    <s v="MD/ Director"/>
    <m/>
    <n v="1"/>
  </r>
  <r>
    <n v="288"/>
    <x v="0"/>
    <x v="9"/>
    <s v="A53023"/>
    <s v="Md. Jamal Mondol"/>
    <x v="15"/>
    <x v="3"/>
    <x v="7"/>
    <s v="General Manager, Admin"/>
    <d v="2023-09-27T00:00:00"/>
    <n v="10775"/>
    <m/>
    <s v="Refat Garments Ltd."/>
    <x v="3"/>
    <s v="MD/ Director"/>
    <m/>
    <n v="1"/>
  </r>
  <r>
    <n v="289"/>
    <x v="0"/>
    <x v="9"/>
    <s v="A23213"/>
    <s v="Rajib Chakraborty"/>
    <x v="0"/>
    <x v="14"/>
    <x v="4"/>
    <s v="Executive Director, Zonal"/>
    <d v="2023-10-17T00:00:00"/>
    <n v="300000"/>
    <m/>
    <s v="Bright Wash Ltd."/>
    <x v="3"/>
    <s v="MD/ Director"/>
    <m/>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8" firstHeaderRow="1" firstDataRow="1" firstDataCol="1"/>
  <pivotFields count="17">
    <pivotField showAll="0"/>
    <pivotField showAll="0">
      <items count="2">
        <item x="0"/>
        <item t="default"/>
      </items>
    </pivotField>
    <pivotField showAll="0">
      <items count="11">
        <item x="0"/>
        <item x="1"/>
        <item x="2"/>
        <item x="3"/>
        <item x="4"/>
        <item x="5"/>
        <item x="6"/>
        <item x="7"/>
        <item x="8"/>
        <item x="9"/>
        <item t="default"/>
      </items>
    </pivotField>
    <pivotField showAll="0"/>
    <pivotField showAll="0"/>
    <pivotField showAll="0"/>
    <pivotField showAll="0"/>
    <pivotField showAll="0"/>
    <pivotField showAll="0"/>
    <pivotField showAll="0"/>
    <pivotField showAll="0"/>
    <pivotField showAll="0"/>
    <pivotField showAll="0"/>
    <pivotField axis="axisRow" showAll="0">
      <items count="5">
        <item x="1"/>
        <item x="2"/>
        <item x="3"/>
        <item x="0"/>
        <item t="default"/>
      </items>
    </pivotField>
    <pivotField showAll="0"/>
    <pivotField showAll="0"/>
    <pivotField dataField="1" showAll="0"/>
  </pivotFields>
  <rowFields count="1">
    <field x="13"/>
  </rowFields>
  <rowItems count="5">
    <i>
      <x/>
    </i>
    <i>
      <x v="1"/>
    </i>
    <i>
      <x v="2"/>
    </i>
    <i>
      <x v="3"/>
    </i>
    <i t="grand">
      <x/>
    </i>
  </rowItems>
  <colItems count="1">
    <i/>
  </colItems>
  <dataFields count="1">
    <dataField name="Sum of count" fld="16" baseField="0"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Q3:T14" firstHeaderRow="0" firstDataRow="1" firstDataCol="1"/>
  <pivotFields count="17">
    <pivotField showAll="0"/>
    <pivotField showAll="0">
      <items count="2">
        <item x="0"/>
        <item t="default"/>
      </items>
    </pivotField>
    <pivotField axis="axisRow" showAll="0">
      <items count="11">
        <item x="0"/>
        <item x="1"/>
        <item x="2"/>
        <item x="3"/>
        <item x="4"/>
        <item x="5"/>
        <item x="6"/>
        <item x="7"/>
        <item x="8"/>
        <item x="9"/>
        <item t="default"/>
      </items>
    </pivotField>
    <pivotField showAll="0"/>
    <pivotField showAll="0"/>
    <pivotField showAll="0"/>
    <pivotField showAll="0"/>
    <pivotField showAll="0">
      <items count="12">
        <item x="0"/>
        <item x="7"/>
        <item x="10"/>
        <item x="1"/>
        <item x="4"/>
        <item x="3"/>
        <item x="9"/>
        <item x="6"/>
        <item x="2"/>
        <item x="5"/>
        <item x="8"/>
        <item t="default"/>
      </items>
    </pivotField>
    <pivotField showAll="0"/>
    <pivotField showAll="0"/>
    <pivotField dataField="1" showAll="0"/>
    <pivotField showAll="0"/>
    <pivotField showAll="0"/>
    <pivotField showAll="0"/>
    <pivotField showAll="0"/>
    <pivotField showAll="0"/>
    <pivotField showAll="0"/>
  </pivotFields>
  <rowFields count="1">
    <field x="2"/>
  </rowFields>
  <rowItems count="11">
    <i>
      <x/>
    </i>
    <i>
      <x v="1"/>
    </i>
    <i>
      <x v="2"/>
    </i>
    <i>
      <x v="3"/>
    </i>
    <i>
      <x v="4"/>
    </i>
    <i>
      <x v="5"/>
    </i>
    <i>
      <x v="6"/>
    </i>
    <i>
      <x v="7"/>
    </i>
    <i>
      <x v="8"/>
    </i>
    <i>
      <x v="9"/>
    </i>
    <i t="grand">
      <x/>
    </i>
  </rowItems>
  <colFields count="1">
    <field x="-2"/>
  </colFields>
  <colItems count="3">
    <i>
      <x/>
    </i>
    <i i="1">
      <x v="1"/>
    </i>
    <i i="2">
      <x v="2"/>
    </i>
  </colItems>
  <dataFields count="3">
    <dataField name="Min of Gross" fld="10" subtotal="min" baseField="0" baseItem="0"/>
    <dataField name="Max of Gross2" fld="10" subtotal="max" baseField="0" baseItem="0"/>
    <dataField name="Average of Gross3" fld="10"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14" firstHeaderRow="1" firstDataRow="1" firstDataCol="1"/>
  <pivotFields count="17">
    <pivotField showAll="0"/>
    <pivotField showAll="0">
      <items count="2">
        <item x="0"/>
        <item t="default"/>
      </items>
    </pivotField>
    <pivotField axis="axisRow" showAll="0">
      <items count="11">
        <item x="0"/>
        <item x="1"/>
        <item x="2"/>
        <item x="3"/>
        <item x="4"/>
        <item x="5"/>
        <item x="6"/>
        <item x="7"/>
        <item x="8"/>
        <item x="9"/>
        <item t="default"/>
      </items>
    </pivotField>
    <pivotField showAll="0"/>
    <pivotField showAll="0"/>
    <pivotField showAll="0"/>
    <pivotField showAll="0"/>
    <pivotField showAll="0">
      <items count="12">
        <item x="0"/>
        <item x="7"/>
        <item x="10"/>
        <item x="1"/>
        <item x="4"/>
        <item x="3"/>
        <item x="9"/>
        <item x="6"/>
        <item x="2"/>
        <item x="5"/>
        <item x="8"/>
        <item t="default"/>
      </items>
    </pivotField>
    <pivotField showAll="0"/>
    <pivotField showAll="0"/>
    <pivotField showAll="0"/>
    <pivotField showAll="0"/>
    <pivotField showAll="0"/>
    <pivotField showAll="0"/>
    <pivotField showAll="0"/>
    <pivotField showAll="0"/>
    <pivotField dataField="1" showAll="0"/>
  </pivotFields>
  <rowFields count="1">
    <field x="2"/>
  </rowFields>
  <rowItems count="11">
    <i>
      <x/>
    </i>
    <i>
      <x v="1"/>
    </i>
    <i>
      <x v="2"/>
    </i>
    <i>
      <x v="3"/>
    </i>
    <i>
      <x v="4"/>
    </i>
    <i>
      <x v="5"/>
    </i>
    <i>
      <x v="6"/>
    </i>
    <i>
      <x v="7"/>
    </i>
    <i>
      <x v="8"/>
    </i>
    <i>
      <x v="9"/>
    </i>
    <i t="grand">
      <x/>
    </i>
  </rowItems>
  <colItems count="1">
    <i/>
  </colItems>
  <dataFields count="1">
    <dataField name="Sum of count" fld="16" baseField="0" baseItem="0"/>
  </dataFields>
  <chartFormats count="2">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7"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3:B15" firstHeaderRow="1" firstDataRow="1" firstDataCol="1"/>
  <pivotFields count="17">
    <pivotField showAll="0"/>
    <pivotField showAll="0">
      <items count="2">
        <item x="0"/>
        <item t="default"/>
      </items>
    </pivotField>
    <pivotField showAll="0">
      <items count="11">
        <item x="0"/>
        <item x="1"/>
        <item x="2"/>
        <item x="3"/>
        <item x="4"/>
        <item x="5"/>
        <item x="6"/>
        <item x="7"/>
        <item x="8"/>
        <item x="9"/>
        <item t="default"/>
      </items>
    </pivotField>
    <pivotField showAll="0"/>
    <pivotField showAll="0"/>
    <pivotField showAll="0"/>
    <pivotField showAll="0"/>
    <pivotField axis="axisRow" dataField="1" showAll="0">
      <items count="12">
        <item x="0"/>
        <item x="7"/>
        <item x="10"/>
        <item x="1"/>
        <item x="4"/>
        <item x="3"/>
        <item x="9"/>
        <item x="6"/>
        <item x="2"/>
        <item x="5"/>
        <item x="8"/>
        <item t="default"/>
      </items>
    </pivotField>
    <pivotField showAll="0"/>
    <pivotField showAll="0"/>
    <pivotField showAll="0"/>
    <pivotField showAll="0"/>
    <pivotField showAll="0"/>
    <pivotField showAll="0"/>
    <pivotField showAll="0"/>
    <pivotField showAll="0"/>
    <pivotField showAll="0"/>
  </pivotFields>
  <rowFields count="1">
    <field x="7"/>
  </rowFields>
  <rowItems count="12">
    <i>
      <x/>
    </i>
    <i>
      <x v="1"/>
    </i>
    <i>
      <x v="2"/>
    </i>
    <i>
      <x v="3"/>
    </i>
    <i>
      <x v="4"/>
    </i>
    <i>
      <x v="5"/>
    </i>
    <i>
      <x v="6"/>
    </i>
    <i>
      <x v="7"/>
    </i>
    <i>
      <x v="8"/>
    </i>
    <i>
      <x v="9"/>
    </i>
    <i>
      <x v="10"/>
    </i>
    <i t="grand">
      <x/>
    </i>
  </rowItems>
  <colItems count="1">
    <i/>
  </colItems>
  <dataFields count="1">
    <dataField name="Count of Unit/ Factory" fld="7" subtotal="count" baseField="0" baseItem="0"/>
  </dataField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M3:P15" firstHeaderRow="0" firstDataRow="1" firstDataCol="1"/>
  <pivotFields count="17">
    <pivotField showAll="0"/>
    <pivotField showAll="0">
      <items count="2">
        <item x="0"/>
        <item t="default"/>
      </items>
    </pivotField>
    <pivotField showAll="0">
      <items count="11">
        <item x="0"/>
        <item x="1"/>
        <item x="2"/>
        <item x="3"/>
        <item x="4"/>
        <item x="5"/>
        <item x="6"/>
        <item x="7"/>
        <item x="8"/>
        <item x="9"/>
        <item t="default"/>
      </items>
    </pivotField>
    <pivotField showAll="0"/>
    <pivotField showAll="0"/>
    <pivotField showAll="0"/>
    <pivotField showAll="0"/>
    <pivotField axis="axisRow" showAll="0">
      <items count="12">
        <item x="0"/>
        <item x="7"/>
        <item x="10"/>
        <item x="1"/>
        <item x="4"/>
        <item x="3"/>
        <item x="9"/>
        <item x="6"/>
        <item x="2"/>
        <item x="5"/>
        <item x="8"/>
        <item t="default"/>
      </items>
    </pivotField>
    <pivotField showAll="0"/>
    <pivotField showAll="0"/>
    <pivotField dataField="1" showAll="0"/>
    <pivotField showAll="0"/>
    <pivotField showAll="0"/>
    <pivotField showAll="0"/>
    <pivotField showAll="0"/>
    <pivotField showAll="0"/>
    <pivotField showAll="0"/>
  </pivotFields>
  <rowFields count="1">
    <field x="7"/>
  </rowFields>
  <rowItems count="12">
    <i>
      <x/>
    </i>
    <i>
      <x v="1"/>
    </i>
    <i>
      <x v="2"/>
    </i>
    <i>
      <x v="3"/>
    </i>
    <i>
      <x v="4"/>
    </i>
    <i>
      <x v="5"/>
    </i>
    <i>
      <x v="6"/>
    </i>
    <i>
      <x v="7"/>
    </i>
    <i>
      <x v="8"/>
    </i>
    <i>
      <x v="9"/>
    </i>
    <i>
      <x v="10"/>
    </i>
    <i t="grand">
      <x/>
    </i>
  </rowItems>
  <colFields count="1">
    <field x="-2"/>
  </colFields>
  <colItems count="3">
    <i>
      <x/>
    </i>
    <i i="1">
      <x v="1"/>
    </i>
    <i i="2">
      <x v="2"/>
    </i>
  </colItems>
  <dataFields count="3">
    <dataField name="Min of Gross" fld="10" subtotal="min" baseField="0" baseItem="0"/>
    <dataField name="Max of Gross2" fld="10" subtotal="max" baseField="0" baseItem="0"/>
    <dataField name="Average of Gross3" fld="10"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L5:O27" firstHeaderRow="0" firstDataRow="1" firstDataCol="1"/>
  <pivotFields count="17">
    <pivotField showAll="0"/>
    <pivotField showAll="0">
      <items count="2">
        <item x="0"/>
        <item t="default"/>
      </items>
    </pivotField>
    <pivotField showAll="0">
      <items count="11">
        <item x="0"/>
        <item x="1"/>
        <item x="2"/>
        <item x="3"/>
        <item x="4"/>
        <item x="5"/>
        <item x="6"/>
        <item x="7"/>
        <item x="8"/>
        <item x="9"/>
        <item t="default"/>
      </items>
    </pivotField>
    <pivotField showAll="0"/>
    <pivotField showAll="0"/>
    <pivotField showAll="0">
      <items count="51">
        <item x="31"/>
        <item x="19"/>
        <item x="9"/>
        <item x="13"/>
        <item x="8"/>
        <item x="40"/>
        <item x="2"/>
        <item x="21"/>
        <item x="41"/>
        <item x="48"/>
        <item x="45"/>
        <item x="27"/>
        <item x="4"/>
        <item x="24"/>
        <item x="11"/>
        <item x="35"/>
        <item x="17"/>
        <item x="44"/>
        <item x="39"/>
        <item x="37"/>
        <item x="30"/>
        <item x="20"/>
        <item x="0"/>
        <item x="36"/>
        <item x="42"/>
        <item x="18"/>
        <item x="46"/>
        <item x="3"/>
        <item x="12"/>
        <item x="38"/>
        <item x="1"/>
        <item x="6"/>
        <item x="5"/>
        <item x="47"/>
        <item x="7"/>
        <item x="22"/>
        <item x="49"/>
        <item x="15"/>
        <item x="16"/>
        <item x="28"/>
        <item x="29"/>
        <item x="32"/>
        <item x="25"/>
        <item x="10"/>
        <item x="43"/>
        <item x="33"/>
        <item x="23"/>
        <item x="34"/>
        <item x="26"/>
        <item x="14"/>
        <item t="default"/>
      </items>
    </pivotField>
    <pivotField axis="axisRow" showAll="0">
      <items count="22">
        <item x="3"/>
        <item x="4"/>
        <item x="13"/>
        <item x="9"/>
        <item x="12"/>
        <item x="8"/>
        <item x="2"/>
        <item x="15"/>
        <item x="20"/>
        <item x="5"/>
        <item x="6"/>
        <item x="18"/>
        <item x="10"/>
        <item x="0"/>
        <item x="7"/>
        <item x="14"/>
        <item x="1"/>
        <item x="16"/>
        <item x="11"/>
        <item x="17"/>
        <item x="19"/>
        <item t="default"/>
      </items>
    </pivotField>
    <pivotField showAll="0"/>
    <pivotField showAll="0"/>
    <pivotField showAll="0"/>
    <pivotField dataField="1" showAll="0"/>
    <pivotField showAll="0"/>
    <pivotField showAll="0"/>
    <pivotField showAll="0"/>
    <pivotField showAll="0"/>
    <pivotField showAll="0"/>
    <pivotField showAll="0"/>
  </pivotFields>
  <rowFields count="1">
    <field x="6"/>
  </rowFields>
  <rowItems count="22">
    <i>
      <x/>
    </i>
    <i>
      <x v="1"/>
    </i>
    <i>
      <x v="2"/>
    </i>
    <i>
      <x v="3"/>
    </i>
    <i>
      <x v="4"/>
    </i>
    <i>
      <x v="5"/>
    </i>
    <i>
      <x v="6"/>
    </i>
    <i>
      <x v="7"/>
    </i>
    <i>
      <x v="8"/>
    </i>
    <i>
      <x v="9"/>
    </i>
    <i>
      <x v="10"/>
    </i>
    <i>
      <x v="11"/>
    </i>
    <i>
      <x v="12"/>
    </i>
    <i>
      <x v="13"/>
    </i>
    <i>
      <x v="14"/>
    </i>
    <i>
      <x v="15"/>
    </i>
    <i>
      <x v="16"/>
    </i>
    <i>
      <x v="17"/>
    </i>
    <i>
      <x v="18"/>
    </i>
    <i>
      <x v="19"/>
    </i>
    <i>
      <x v="20"/>
    </i>
    <i t="grand">
      <x/>
    </i>
  </rowItems>
  <colFields count="1">
    <field x="-2"/>
  </colFields>
  <colItems count="3">
    <i>
      <x/>
    </i>
    <i i="1">
      <x v="1"/>
    </i>
    <i i="2">
      <x v="2"/>
    </i>
  </colItems>
  <dataFields count="3">
    <dataField name="Min of Gross" fld="10" subtotal="min" baseField="0" baseItem="0"/>
    <dataField name="Average of Gross" fld="10" subtotal="average" baseField="0" baseItem="0"/>
    <dataField name="Max of Gross" fld="10"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25" firstHeaderRow="1" firstDataRow="1" firstDataCol="1"/>
  <pivotFields count="17">
    <pivotField showAll="0"/>
    <pivotField showAll="0">
      <items count="2">
        <item x="0"/>
        <item t="default"/>
      </items>
    </pivotField>
    <pivotField showAll="0">
      <items count="11">
        <item x="0"/>
        <item x="1"/>
        <item x="2"/>
        <item x="3"/>
        <item x="4"/>
        <item x="5"/>
        <item x="6"/>
        <item x="7"/>
        <item x="8"/>
        <item x="9"/>
        <item t="default"/>
      </items>
    </pivotField>
    <pivotField showAll="0"/>
    <pivotField showAll="0"/>
    <pivotField showAll="0">
      <items count="51">
        <item x="31"/>
        <item x="19"/>
        <item x="9"/>
        <item x="13"/>
        <item x="8"/>
        <item x="40"/>
        <item x="2"/>
        <item x="21"/>
        <item x="41"/>
        <item x="48"/>
        <item x="45"/>
        <item x="27"/>
        <item x="4"/>
        <item x="24"/>
        <item x="11"/>
        <item x="35"/>
        <item x="17"/>
        <item x="44"/>
        <item x="39"/>
        <item x="37"/>
        <item x="30"/>
        <item x="20"/>
        <item x="0"/>
        <item x="36"/>
        <item x="42"/>
        <item x="18"/>
        <item x="46"/>
        <item x="3"/>
        <item x="12"/>
        <item x="38"/>
        <item x="1"/>
        <item x="6"/>
        <item x="5"/>
        <item x="47"/>
        <item x="7"/>
        <item x="22"/>
        <item x="49"/>
        <item x="15"/>
        <item x="16"/>
        <item x="28"/>
        <item x="29"/>
        <item x="32"/>
        <item x="25"/>
        <item x="10"/>
        <item x="43"/>
        <item x="33"/>
        <item x="23"/>
        <item x="34"/>
        <item x="26"/>
        <item x="14"/>
        <item t="default"/>
      </items>
    </pivotField>
    <pivotField axis="axisRow" showAll="0">
      <items count="22">
        <item x="3"/>
        <item x="4"/>
        <item x="13"/>
        <item x="9"/>
        <item x="12"/>
        <item x="8"/>
        <item x="2"/>
        <item x="15"/>
        <item x="20"/>
        <item x="5"/>
        <item x="6"/>
        <item x="18"/>
        <item x="10"/>
        <item x="0"/>
        <item x="7"/>
        <item x="14"/>
        <item x="1"/>
        <item x="16"/>
        <item x="11"/>
        <item x="17"/>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6"/>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Sum of count" fld="16" baseField="0" baseItem="0"/>
  </dataFields>
  <chartFormats count="1">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T5:X7" firstHeaderRow="0" firstDataRow="1" firstDataCol="1"/>
  <pivotFields count="17">
    <pivotField showAll="0"/>
    <pivotField showAll="0">
      <items count="2">
        <item x="0"/>
        <item t="default"/>
      </items>
    </pivotField>
    <pivotField showAll="0">
      <items count="11">
        <item x="0"/>
        <item x="1"/>
        <item x="2"/>
        <item x="3"/>
        <item x="4"/>
        <item x="5"/>
        <item x="6"/>
        <item x="7"/>
        <item x="8"/>
        <item x="9"/>
        <item t="default"/>
      </items>
    </pivotField>
    <pivotField showAll="0"/>
    <pivotField showAll="0"/>
    <pivotField axis="axisRow" showAll="0">
      <items count="58">
        <item h="1" x="31"/>
        <item x="19"/>
        <item h="1" x="9"/>
        <item h="1" x="13"/>
        <item h="1" x="8"/>
        <item h="1" x="40"/>
        <item h="1" x="2"/>
        <item h="1" x="21"/>
        <item h="1" x="41"/>
        <item h="1" x="48"/>
        <item h="1" x="45"/>
        <item h="1" x="4"/>
        <item h="1" x="24"/>
        <item h="1" x="11"/>
        <item h="1" x="35"/>
        <item h="1" x="17"/>
        <item h="1" x="39"/>
        <item h="1" x="37"/>
        <item h="1" x="30"/>
        <item h="1" x="20"/>
        <item h="1" x="0"/>
        <item h="1" m="1" x="53"/>
        <item h="1" x="36"/>
        <item h="1" x="18"/>
        <item h="1" m="1" x="56"/>
        <item h="1" m="1" x="55"/>
        <item h="1" m="1" x="50"/>
        <item h="1" m="1" x="51"/>
        <item h="1" x="3"/>
        <item h="1" x="12"/>
        <item h="1" x="38"/>
        <item h="1" x="1"/>
        <item h="1" x="6"/>
        <item h="1" x="5"/>
        <item h="1" x="47"/>
        <item h="1" x="7"/>
        <item h="1" m="1" x="54"/>
        <item h="1" x="22"/>
        <item h="1" x="49"/>
        <item h="1" x="29"/>
        <item h="1" x="32"/>
        <item h="1" x="25"/>
        <item h="1" x="10"/>
        <item h="1" x="33"/>
        <item h="1" x="23"/>
        <item h="1" x="34"/>
        <item h="1" x="26"/>
        <item h="1" x="14"/>
        <item h="1" m="1" x="52"/>
        <item h="1" x="15"/>
        <item h="1" x="16"/>
        <item h="1" x="28"/>
        <item h="1" x="42"/>
        <item h="1" x="43"/>
        <item h="1" x="44"/>
        <item h="1" x="46"/>
        <item h="1" x="27"/>
        <item t="default"/>
      </items>
    </pivotField>
    <pivotField showAll="0"/>
    <pivotField showAll="0"/>
    <pivotField showAll="0"/>
    <pivotField showAll="0"/>
    <pivotField dataField="1" showAll="0"/>
    <pivotField showAll="0"/>
    <pivotField showAll="0"/>
    <pivotField showAll="0"/>
    <pivotField showAll="0"/>
    <pivotField showAll="0"/>
    <pivotField showAll="0"/>
  </pivotFields>
  <rowFields count="1">
    <field x="5"/>
  </rowFields>
  <rowItems count="2">
    <i>
      <x v="1"/>
    </i>
    <i t="grand">
      <x/>
    </i>
  </rowItems>
  <colFields count="1">
    <field x="-2"/>
  </colFields>
  <colItems count="4">
    <i>
      <x/>
    </i>
    <i i="1">
      <x v="1"/>
    </i>
    <i i="2">
      <x v="2"/>
    </i>
    <i i="3">
      <x v="3"/>
    </i>
  </colItems>
  <dataFields count="4">
    <dataField name="Sum of Gross" fld="10" baseField="0" baseItem="0"/>
    <dataField name="Average of Gross" fld="10" subtotal="average" baseField="0" baseItem="0"/>
    <dataField name="Min of Gross2" fld="10" subtotal="min" baseField="0" baseItem="0"/>
    <dataField name="Max of Gross" fld="10"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5" firstHeaderRow="1" firstDataRow="1" firstDataCol="1"/>
  <pivotFields count="17">
    <pivotField showAll="0"/>
    <pivotField showAll="0">
      <items count="2">
        <item x="0"/>
        <item t="default"/>
      </items>
    </pivotField>
    <pivotField showAll="0">
      <items count="11">
        <item x="0"/>
        <item x="1"/>
        <item x="2"/>
        <item x="3"/>
        <item x="4"/>
        <item x="5"/>
        <item x="6"/>
        <item x="7"/>
        <item x="8"/>
        <item x="9"/>
        <item t="default"/>
      </items>
    </pivotField>
    <pivotField showAll="0"/>
    <pivotField showAll="0"/>
    <pivotField axis="axisRow" showAll="0">
      <items count="58">
        <item h="1" x="31"/>
        <item x="19"/>
        <item h="1" x="9"/>
        <item h="1" x="13"/>
        <item h="1" x="8"/>
        <item h="1" x="40"/>
        <item h="1" x="2"/>
        <item h="1" x="21"/>
        <item h="1" x="41"/>
        <item h="1" x="48"/>
        <item h="1" x="45"/>
        <item h="1" x="27"/>
        <item h="1" x="4"/>
        <item h="1" x="24"/>
        <item h="1" x="11"/>
        <item h="1" x="35"/>
        <item h="1" x="17"/>
        <item h="1" x="44"/>
        <item h="1" x="39"/>
        <item h="1" x="37"/>
        <item h="1" x="30"/>
        <item h="1" x="20"/>
        <item h="1" x="0"/>
        <item h="1" m="1" x="53"/>
        <item h="1" x="36"/>
        <item h="1" x="42"/>
        <item h="1" x="18"/>
        <item h="1" m="1" x="56"/>
        <item h="1" m="1" x="55"/>
        <item h="1" m="1" x="50"/>
        <item h="1" m="1" x="52"/>
        <item h="1" m="1" x="51"/>
        <item h="1" x="46"/>
        <item h="1" x="3"/>
        <item h="1" x="12"/>
        <item h="1" x="38"/>
        <item h="1" x="1"/>
        <item h="1" x="6"/>
        <item h="1" x="5"/>
        <item h="1" x="47"/>
        <item h="1" x="7"/>
        <item h="1" m="1" x="54"/>
        <item h="1" x="22"/>
        <item h="1" x="49"/>
        <item h="1" x="15"/>
        <item h="1" x="16"/>
        <item h="1" x="28"/>
        <item h="1" x="29"/>
        <item h="1" x="32"/>
        <item h="1" x="25"/>
        <item h="1" x="10"/>
        <item h="1" x="43"/>
        <item h="1" x="33"/>
        <item h="1" x="23"/>
        <item h="1" x="34"/>
        <item h="1" x="26"/>
        <item h="1" x="14"/>
        <item t="default"/>
      </items>
    </pivotField>
    <pivotField showAll="0"/>
    <pivotField showAll="0"/>
    <pivotField showAll="0"/>
    <pivotField showAll="0"/>
    <pivotField showAll="0"/>
    <pivotField showAll="0"/>
    <pivotField showAll="0"/>
    <pivotField showAll="0"/>
    <pivotField showAll="0"/>
    <pivotField showAll="0"/>
    <pivotField dataField="1" showAll="0"/>
  </pivotFields>
  <rowFields count="1">
    <field x="5"/>
  </rowFields>
  <rowItems count="2">
    <i>
      <x v="1"/>
    </i>
    <i t="grand">
      <x/>
    </i>
  </rowItems>
  <colItems count="1">
    <i/>
  </colItems>
  <dataFields count="1">
    <dataField name="Sum of count" fld="16" baseField="0" baseItem="0"/>
  </dataFields>
  <chartFormats count="1">
    <chartFormat chart="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de_of_vacancy" sourceName="Mode of vacancy">
  <pivotTables>
    <pivotTable tabId="28" name="PivotTable2"/>
  </pivotTables>
  <data>
    <tabular pivotCacheId="3">
      <items count="4">
        <i x="1" s="1"/>
        <i x="2" s="1"/>
        <i x="3"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28" name="PivotTable2"/>
  </pivotTables>
  <data>
    <tabular pivotCacheId="3">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28" name="PivotTable2"/>
  </pivotTables>
  <data>
    <tabular pivotCacheId="3">
      <items count="10">
        <i x="0" s="1"/>
        <i x="1" s="1"/>
        <i x="2" s="1"/>
        <i x="3" s="1"/>
        <i x="4" s="1"/>
        <i x="5" s="1"/>
        <i x="6" s="1"/>
        <i x="7" s="1"/>
        <i x="8" s="1"/>
        <i x="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Year2" sourceName="Year">
  <pivotTables>
    <pivotTable tabId="41" name="PivotTable10"/>
    <pivotTable tabId="41" name="PivotTable11"/>
  </pivotTables>
  <data>
    <tabular pivotCacheId="2">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Month2" sourceName="Month">
  <pivotTables>
    <pivotTable tabId="41" name="PivotTable10"/>
    <pivotTable tabId="41" name="PivotTable11"/>
  </pivotTables>
  <data>
    <tabular pivotCacheId="2">
      <items count="10">
        <i x="0" s="1"/>
        <i x="1" s="1"/>
        <i x="4" s="1"/>
        <i x="6" s="1"/>
        <i x="2" s="1" nd="1"/>
        <i x="3" s="1" nd="1"/>
        <i x="5" s="1" nd="1"/>
        <i x="7" s="1" nd="1"/>
        <i x="8" s="1" nd="1"/>
        <i x="9"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Designation" sourceName="Designation">
  <pivotTables>
    <pivotTable tabId="41" name="PivotTable10"/>
    <pivotTable tabId="41" name="PivotTable11"/>
  </pivotTables>
  <data>
    <tabular pivotCacheId="2">
      <items count="57">
        <i x="31"/>
        <i x="19" s="1"/>
        <i x="9"/>
        <i x="13"/>
        <i x="8"/>
        <i x="40"/>
        <i x="2"/>
        <i x="21"/>
        <i x="41"/>
        <i x="48"/>
        <i x="45"/>
        <i x="27"/>
        <i x="4"/>
        <i x="24"/>
        <i x="11"/>
        <i x="35"/>
        <i x="17"/>
        <i x="44"/>
        <i x="39"/>
        <i x="37"/>
        <i x="30"/>
        <i x="20"/>
        <i x="0"/>
        <i x="36"/>
        <i x="42"/>
        <i x="18"/>
        <i x="46"/>
        <i x="3"/>
        <i x="12"/>
        <i x="38"/>
        <i x="1"/>
        <i x="6"/>
        <i x="5"/>
        <i x="47"/>
        <i x="7"/>
        <i x="22"/>
        <i x="49"/>
        <i x="15"/>
        <i x="16"/>
        <i x="28"/>
        <i x="29"/>
        <i x="32"/>
        <i x="25"/>
        <i x="10"/>
        <i x="43"/>
        <i x="33"/>
        <i x="23"/>
        <i x="34"/>
        <i x="26"/>
        <i x="14"/>
        <i x="53" nd="1"/>
        <i x="56" nd="1"/>
        <i x="55" nd="1"/>
        <i x="50" nd="1"/>
        <i x="52" nd="1"/>
        <i x="51" nd="1"/>
        <i x="54"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Year4" sourceName="Year">
  <pivotTables>
    <pivotTable tabId="45" name="PivotTable1"/>
    <pivotTable tabId="45" name="PivotTable2"/>
  </pivotTables>
  <data>
    <tabular pivotCacheId="3">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Month4" sourceName="Month">
  <pivotTables>
    <pivotTable tabId="45" name="PivotTable1"/>
    <pivotTable tabId="45" name="PivotTable2"/>
  </pivotTables>
  <data>
    <tabular pivotCacheId="3">
      <items count="10">
        <i x="0" s="1"/>
        <i x="1" s="1"/>
        <i x="2" s="1"/>
        <i x="3" s="1"/>
        <i x="4" s="1"/>
        <i x="5" s="1"/>
        <i x="6" s="1"/>
        <i x="7" s="1"/>
        <i x="8" s="1"/>
        <i x="9"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Designation1" sourceName="Designation">
  <pivotTables>
    <pivotTable tabId="45" name="PivotTable1"/>
    <pivotTable tabId="45" name="PivotTable2"/>
  </pivotTables>
  <data>
    <tabular pivotCacheId="3">
      <items count="50">
        <i x="31" s="1"/>
        <i x="19" s="1"/>
        <i x="9" s="1"/>
        <i x="13" s="1"/>
        <i x="8" s="1"/>
        <i x="40" s="1"/>
        <i x="2" s="1"/>
        <i x="21" s="1"/>
        <i x="41" s="1"/>
        <i x="48" s="1"/>
        <i x="45" s="1"/>
        <i x="27" s="1"/>
        <i x="4" s="1"/>
        <i x="24" s="1"/>
        <i x="11" s="1"/>
        <i x="35" s="1"/>
        <i x="17" s="1"/>
        <i x="44" s="1"/>
        <i x="39" s="1"/>
        <i x="37" s="1"/>
        <i x="30" s="1"/>
        <i x="20" s="1"/>
        <i x="0" s="1"/>
        <i x="36" s="1"/>
        <i x="42" s="1"/>
        <i x="18" s="1"/>
        <i x="46" s="1"/>
        <i x="3" s="1"/>
        <i x="12" s="1"/>
        <i x="38" s="1"/>
        <i x="1" s="1"/>
        <i x="6" s="1"/>
        <i x="5" s="1"/>
        <i x="47" s="1"/>
        <i x="7" s="1"/>
        <i x="22" s="1"/>
        <i x="49" s="1"/>
        <i x="15" s="1"/>
        <i x="16" s="1"/>
        <i x="28" s="1"/>
        <i x="29" s="1"/>
        <i x="32" s="1"/>
        <i x="25" s="1"/>
        <i x="10" s="1"/>
        <i x="43" s="1"/>
        <i x="33" s="1"/>
        <i x="23" s="1"/>
        <i x="34" s="1"/>
        <i x="26" s="1"/>
        <i x="14"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45" name="PivotTable1"/>
    <pivotTable tabId="45" name="PivotTable2"/>
  </pivotTables>
  <data>
    <tabular pivotCacheId="3">
      <items count="21">
        <i x="3" s="1"/>
        <i x="16" s="1"/>
        <i x="4" s="1"/>
        <i x="13" s="1"/>
        <i x="9" s="1"/>
        <i x="12" s="1"/>
        <i x="8" s="1"/>
        <i x="2" s="1"/>
        <i x="15" s="1"/>
        <i x="20" s="1"/>
        <i x="5" s="1"/>
        <i x="19" s="1"/>
        <i x="17" s="1"/>
        <i x="6" s="1"/>
        <i x="18" s="1"/>
        <i x="10" s="1"/>
        <i x="0" s="1"/>
        <i x="1" s="1"/>
        <i x="7" s="1"/>
        <i x="11" s="1"/>
        <i x="14"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Year1" sourceName="Year">
  <pivotTables>
    <pivotTable tabId="39" name="PivotTable3"/>
    <pivotTable tabId="39" name="PivotTable7"/>
  </pivotTables>
  <data>
    <tabular pivotCacheId="3">
      <items count="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Month1" sourceName="Month">
  <pivotTables>
    <pivotTable tabId="39" name="PivotTable3"/>
    <pivotTable tabId="39" name="PivotTable7"/>
  </pivotTables>
  <data>
    <tabular pivotCacheId="3">
      <items count="10">
        <i x="0" s="1"/>
        <i x="1" s="1"/>
        <i x="2" s="1"/>
        <i x="3" s="1"/>
        <i x="4" s="1"/>
        <i x="5" s="1"/>
        <i x="6" s="1"/>
        <i x="7" s="1"/>
        <i x="8" s="1"/>
        <i x="9"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Unit__Factory" sourceName="Unit/ Factory">
  <pivotTables>
    <pivotTable tabId="39" name="PivotTable3"/>
    <pivotTable tabId="39" name="PivotTable7"/>
  </pivotTables>
  <data>
    <tabular pivotCacheId="3">
      <items count="11">
        <i x="0" s="1"/>
        <i x="7" s="1"/>
        <i x="10" s="1"/>
        <i x="1" s="1"/>
        <i x="4" s="1"/>
        <i x="3" s="1"/>
        <i x="9" s="1"/>
        <i x="6" s="1"/>
        <i x="2" s="1"/>
        <i x="5" s="1"/>
        <i x="8"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Year3" sourceName="Year">
  <pivotTables>
    <pivotTable tabId="48" name="PivotTable1"/>
    <pivotTable tabId="48" name="PivotTable4"/>
  </pivotTables>
  <data>
    <tabular pivotCacheId="3">
      <items count="1">
        <i x="0"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Month3" sourceName="Month">
  <pivotTables>
    <pivotTable tabId="48" name="PivotTable1"/>
    <pivotTable tabId="48" name="PivotTable4"/>
  </pivotTables>
  <data>
    <tabular pivotCacheId="3">
      <items count="10">
        <i x="0" s="1"/>
        <i x="1" s="1"/>
        <i x="2" s="1"/>
        <i x="3" s="1"/>
        <i x="4" s="1"/>
        <i x="5" s="1"/>
        <i x="6" s="1"/>
        <i x="7" s="1"/>
        <i x="8" s="1"/>
        <i x="9"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Unit__Factory1" sourceName="Unit/ Factory">
  <pivotTables>
    <pivotTable tabId="48" name="PivotTable1"/>
    <pivotTable tabId="48" name="PivotTable4"/>
  </pivotTables>
  <data>
    <tabular pivotCacheId="3">
      <items count="11">
        <i x="0" s="1"/>
        <i x="7" s="1"/>
        <i x="10" s="1"/>
        <i x="1" s="1"/>
        <i x="4" s="1"/>
        <i x="3" s="1"/>
        <i x="9" s="1"/>
        <i x="6" s="1"/>
        <i x="2" s="1"/>
        <i x="5"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3" cache="Slicer_Year3" caption="Year" style="SlicerStyleLight4" rowHeight="241300"/>
  <slicer name="Month 3" cache="Slicer_Month3" caption="Month" startItem="2" rowHeight="241300"/>
  <slicer name="Unit/ Factory 1" cache="Slicer_Unit__Factory1" caption="Unit/ Factory" style="SlicerStyleLight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1" cache="Slicer_Year1" caption="Year" style="SlicerStyleLight4" rowHeight="241300"/>
  <slicer name="Month 1" cache="Slicer_Month1" caption="Month" rowHeight="241300"/>
  <slicer name="Unit/ Factory" cache="Slicer_Unit__Factory" caption="Unit/ Factory" style="SlicerStyleLight2"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Year 4" cache="Slicer_Year4" caption="Year" style="SlicerStyleLight6" rowHeight="241300"/>
  <slicer name="Month 4" cache="Slicer_Month4" caption="Month" style="SlicerStyleLight4" rowHeight="241300"/>
  <slicer name="Designation 1" cache="Slicer_Designation1" caption="Designation" style="SlicerStyleLight2" rowHeight="241300"/>
  <slicer name="Department" cache="Slicer_Department" caption="Department"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Year 2" cache="Slicer_Year2" caption="Year" style="SlicerStyleLight4" rowHeight="241300"/>
  <slicer name="Month 2" cache="Slicer_Month2" caption="Month" startItem="2" rowHeight="241300"/>
  <slicer name="Designation" cache="Slicer_Designation" caption="Designation" style="SlicerStyleLight6"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Mode of vacancy" cache="Slicer_Mode_of_vacancy" caption="Mode of vacancy" style="SlicerStyleLight6" rowHeight="241300"/>
  <slicer name="Year" cache="Slicer_Year" caption="Year" style="SlicerStyleLight2" rowHeight="241300"/>
  <slicer name="Month" cache="Slicer_Month" caption="Month" style="SlicerStyleLight4" rowHeight="241300"/>
</slicers>
</file>

<file path=xl/tables/table1.xml><?xml version="1.0" encoding="utf-8"?>
<table xmlns="http://schemas.openxmlformats.org/spreadsheetml/2006/main" id="2" name="Table13" displayName="Table13" ref="A1:Q290" totalsRowShown="0">
  <autoFilter ref="A1:Q290">
    <filterColumn colId="5">
      <filters>
        <filter val="Officer"/>
      </filters>
    </filterColumn>
  </autoFilter>
  <sortState ref="A2:O272">
    <sortCondition ref="A1:A272"/>
  </sortState>
  <tableColumns count="17">
    <tableColumn id="1" name="SL"/>
    <tableColumn id="16" name="Year"/>
    <tableColumn id="2" name="Month" dataDxfId="4"/>
    <tableColumn id="3" name="ID" dataDxfId="3"/>
    <tableColumn id="4" name="Name "/>
    <tableColumn id="5" name="Designation"/>
    <tableColumn id="6" name="Department"/>
    <tableColumn id="7" name="Unit/ Factory"/>
    <tableColumn id="8" name="Report To"/>
    <tableColumn id="9" name="EDOJ" dataDxfId="2"/>
    <tableColumn id="10" name="Gross" dataDxfId="1"/>
    <tableColumn id="17" name="Gross in USD" dataDxfId="0"/>
    <tableColumn id="11" name="Salary Unit"/>
    <tableColumn id="12" name="Mode of vacancy"/>
    <tableColumn id="13" name="Approval Authority"/>
    <tableColumn id="14" name="Remarks"/>
    <tableColumn id="15" name="c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L16"/>
  <sheetViews>
    <sheetView showGridLines="0" workbookViewId="0">
      <selection activeCell="C15" sqref="C15"/>
    </sheetView>
  </sheetViews>
  <sheetFormatPr defaultRowHeight="15" x14ac:dyDescent="0.25"/>
  <cols>
    <col min="2" max="2" width="17.42578125" customWidth="1"/>
    <col min="3" max="3" width="27" customWidth="1"/>
  </cols>
  <sheetData>
    <row r="2" spans="2:12" ht="22.5" customHeight="1" x14ac:dyDescent="0.35">
      <c r="B2" s="9" t="s">
        <v>580</v>
      </c>
      <c r="C2" s="10"/>
      <c r="D2" s="8"/>
      <c r="E2" s="8"/>
      <c r="J2" s="42"/>
      <c r="K2" s="42"/>
    </row>
    <row r="3" spans="2:12" ht="22.5" customHeight="1" x14ac:dyDescent="0.35">
      <c r="B3" s="9" t="s">
        <v>497</v>
      </c>
      <c r="C3" s="10"/>
      <c r="D3" s="8"/>
      <c r="E3" s="8"/>
      <c r="J3" s="23"/>
      <c r="K3" s="23"/>
    </row>
    <row r="4" spans="2:12" ht="18.75" customHeight="1" x14ac:dyDescent="0.25">
      <c r="B4" s="11" t="s">
        <v>1</v>
      </c>
      <c r="C4" s="10"/>
      <c r="D4" s="8"/>
      <c r="E4" s="8"/>
    </row>
    <row r="5" spans="2:12" ht="22.5" customHeight="1" x14ac:dyDescent="0.25">
      <c r="B5" s="12" t="s">
        <v>2</v>
      </c>
      <c r="C5" s="10"/>
    </row>
    <row r="6" spans="2:12" ht="21.75" customHeight="1" x14ac:dyDescent="0.25">
      <c r="B6" s="12" t="s">
        <v>3</v>
      </c>
      <c r="C6" s="10"/>
    </row>
    <row r="7" spans="2:12" ht="25.5" customHeight="1" x14ac:dyDescent="0.35">
      <c r="B7" s="12" t="s">
        <v>4</v>
      </c>
      <c r="C7" s="10"/>
      <c r="J7" s="43"/>
      <c r="K7" s="43"/>
    </row>
    <row r="8" spans="2:12" ht="20.25" customHeight="1" x14ac:dyDescent="0.25">
      <c r="B8" s="12" t="s">
        <v>5</v>
      </c>
      <c r="C8" s="10"/>
    </row>
    <row r="9" spans="2:12" ht="23.25" customHeight="1" x14ac:dyDescent="0.25">
      <c r="B9" s="12" t="s">
        <v>6</v>
      </c>
      <c r="C9" s="10"/>
    </row>
    <row r="10" spans="2:12" ht="21" customHeight="1" x14ac:dyDescent="0.3">
      <c r="B10" s="12" t="s">
        <v>7</v>
      </c>
      <c r="C10" s="10"/>
      <c r="I10" s="17"/>
      <c r="J10" s="17"/>
      <c r="K10" s="17"/>
      <c r="L10" s="17"/>
    </row>
    <row r="11" spans="2:12" ht="21" customHeight="1" x14ac:dyDescent="0.25">
      <c r="B11" s="12" t="s">
        <v>8</v>
      </c>
      <c r="C11" s="10"/>
    </row>
    <row r="12" spans="2:12" ht="21" customHeight="1" x14ac:dyDescent="0.25">
      <c r="B12" s="12" t="s">
        <v>594</v>
      </c>
      <c r="C12" s="10"/>
    </row>
    <row r="13" spans="2:12" ht="19.5" customHeight="1" x14ac:dyDescent="0.25">
      <c r="B13" s="12" t="s">
        <v>9</v>
      </c>
      <c r="C13" s="10"/>
    </row>
    <row r="14" spans="2:12" ht="21" customHeight="1" x14ac:dyDescent="0.25">
      <c r="B14" s="12" t="s">
        <v>10</v>
      </c>
      <c r="C14" s="10"/>
    </row>
    <row r="15" spans="2:12" ht="20.25" customHeight="1" x14ac:dyDescent="0.25">
      <c r="B15" s="12" t="s">
        <v>11</v>
      </c>
      <c r="C15" s="40"/>
    </row>
    <row r="16" spans="2:12" ht="21.75" customHeight="1" x14ac:dyDescent="0.25">
      <c r="B16" s="39" t="s">
        <v>12</v>
      </c>
      <c r="C16" s="10"/>
    </row>
  </sheetData>
  <mergeCells count="2">
    <mergeCell ref="J2:K2"/>
    <mergeCell ref="J7:K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_xludf.insert">
                <anchor moveWithCells="1" sizeWithCells="1">
                  <from>
                    <xdr:col>3</xdr:col>
                    <xdr:colOff>504825</xdr:colOff>
                    <xdr:row>12</xdr:row>
                    <xdr:rowOff>209550</xdr:rowOff>
                  </from>
                  <to>
                    <xdr:col>6</xdr:col>
                    <xdr:colOff>495300</xdr:colOff>
                    <xdr:row>14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'Data list'!$B$2:$B$43</xm:f>
          </x14:formula1>
          <xm:sqref>C6</xm:sqref>
        </x14:dataValidation>
        <x14:dataValidation type="list" allowBlank="1" showInputMessage="1" showErrorMessage="1">
          <x14:formula1>
            <xm:f>'Data list'!$F$2:$F$25</xm:f>
          </x14:formula1>
          <xm:sqref>C13</xm:sqref>
        </x14:dataValidation>
        <x14:dataValidation type="list" allowBlank="1" showInputMessage="1" showErrorMessage="1">
          <x14:formula1>
            <xm:f>'Data list'!$D$2:$D$5</xm:f>
          </x14:formula1>
          <xm:sqref>C14</xm:sqref>
        </x14:dataValidation>
        <x14:dataValidation type="list" allowBlank="1" showInputMessage="1" showErrorMessage="1">
          <x14:formula1>
            <xm:f>'Data list'!$H$2:$H$13</xm:f>
          </x14:formula1>
          <xm:sqref>C3</xm:sqref>
        </x14:dataValidation>
        <x14:dataValidation type="list" allowBlank="1" showInputMessage="1" showErrorMessage="1">
          <x14:formula1>
            <xm:f>'Data list'!$C$2:$C$12</xm:f>
          </x14:formula1>
          <xm:sqref>C8</xm:sqref>
        </x14:dataValidation>
        <x14:dataValidation type="list" allowBlank="1" showInputMessage="1" showErrorMessage="1">
          <x14:formula1>
            <xm:f>'Data list'!$E$2:$E$21</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B8"/>
  <sheetViews>
    <sheetView workbookViewId="0">
      <selection activeCell="B6" sqref="B6"/>
    </sheetView>
  </sheetViews>
  <sheetFormatPr defaultRowHeight="15" x14ac:dyDescent="0.25"/>
  <cols>
    <col min="1" max="1" width="13.140625" customWidth="1"/>
    <col min="2" max="2" width="12.5703125" bestFit="1" customWidth="1"/>
  </cols>
  <sheetData>
    <row r="3" spans="1:2" x14ac:dyDescent="0.25">
      <c r="A3" s="1" t="s">
        <v>494</v>
      </c>
      <c r="B3" t="s">
        <v>496</v>
      </c>
    </row>
    <row r="4" spans="1:2" x14ac:dyDescent="0.25">
      <c r="A4" s="5" t="s">
        <v>22</v>
      </c>
      <c r="B4" s="2">
        <v>20</v>
      </c>
    </row>
    <row r="5" spans="1:2" x14ac:dyDescent="0.25">
      <c r="A5" s="5" t="s">
        <v>26</v>
      </c>
      <c r="B5" s="2">
        <v>64</v>
      </c>
    </row>
    <row r="6" spans="1:2" x14ac:dyDescent="0.25">
      <c r="A6" s="5" t="s">
        <v>47</v>
      </c>
      <c r="B6" s="2">
        <v>153</v>
      </c>
    </row>
    <row r="7" spans="1:2" x14ac:dyDescent="0.25">
      <c r="A7" s="5" t="s">
        <v>17</v>
      </c>
      <c r="B7" s="2">
        <v>52</v>
      </c>
    </row>
    <row r="8" spans="1:2" x14ac:dyDescent="0.25">
      <c r="A8" s="5" t="s">
        <v>495</v>
      </c>
      <c r="B8" s="2">
        <v>289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T14"/>
  <sheetViews>
    <sheetView workbookViewId="0">
      <selection activeCell="B8" sqref="B8"/>
    </sheetView>
  </sheetViews>
  <sheetFormatPr defaultRowHeight="15" x14ac:dyDescent="0.25"/>
  <cols>
    <col min="1" max="1" width="13.140625" bestFit="1" customWidth="1"/>
    <col min="2" max="2" width="12.5703125" bestFit="1" customWidth="1"/>
    <col min="3" max="3" width="13.140625" bestFit="1" customWidth="1"/>
    <col min="17" max="17" width="13.140625" bestFit="1" customWidth="1"/>
    <col min="18" max="18" width="12.28515625" customWidth="1"/>
    <col min="19" max="19" width="13.7109375" customWidth="1"/>
    <col min="20" max="20" width="17.28515625" bestFit="1" customWidth="1"/>
  </cols>
  <sheetData>
    <row r="3" spans="1:20" x14ac:dyDescent="0.25">
      <c r="A3" s="1" t="s">
        <v>494</v>
      </c>
      <c r="B3" t="s">
        <v>496</v>
      </c>
      <c r="Q3" s="1" t="s">
        <v>494</v>
      </c>
      <c r="R3" t="s">
        <v>621</v>
      </c>
      <c r="S3" t="s">
        <v>717</v>
      </c>
      <c r="T3" t="s">
        <v>718</v>
      </c>
    </row>
    <row r="4" spans="1:20" x14ac:dyDescent="0.25">
      <c r="A4" s="5" t="s">
        <v>599</v>
      </c>
      <c r="B4" s="2">
        <v>42</v>
      </c>
      <c r="Q4" s="5" t="s">
        <v>599</v>
      </c>
      <c r="R4" s="2">
        <v>8500</v>
      </c>
      <c r="S4" s="2">
        <v>170000</v>
      </c>
      <c r="T4" s="2">
        <v>32378.75</v>
      </c>
    </row>
    <row r="5" spans="1:20" x14ac:dyDescent="0.25">
      <c r="A5" s="5" t="s">
        <v>600</v>
      </c>
      <c r="B5" s="2">
        <v>33</v>
      </c>
      <c r="Q5" s="5" t="s">
        <v>600</v>
      </c>
      <c r="R5" s="2">
        <v>9000</v>
      </c>
      <c r="S5" s="2">
        <v>250000</v>
      </c>
      <c r="T5" s="2">
        <v>56392.1875</v>
      </c>
    </row>
    <row r="6" spans="1:20" x14ac:dyDescent="0.25">
      <c r="A6" s="5" t="s">
        <v>601</v>
      </c>
      <c r="B6" s="2">
        <v>21</v>
      </c>
      <c r="Q6" s="5" t="s">
        <v>601</v>
      </c>
      <c r="R6" s="2">
        <v>15000</v>
      </c>
      <c r="S6" s="2">
        <v>250000</v>
      </c>
      <c r="T6" s="2">
        <v>57312.5</v>
      </c>
    </row>
    <row r="7" spans="1:20" x14ac:dyDescent="0.25">
      <c r="A7" s="5" t="s">
        <v>602</v>
      </c>
      <c r="B7" s="2">
        <v>22</v>
      </c>
      <c r="Q7" s="5" t="s">
        <v>602</v>
      </c>
      <c r="R7" s="2">
        <v>10775</v>
      </c>
      <c r="S7" s="2">
        <v>130000</v>
      </c>
      <c r="T7" s="2">
        <v>38343.181818181816</v>
      </c>
    </row>
    <row r="8" spans="1:20" x14ac:dyDescent="0.25">
      <c r="A8" s="5" t="s">
        <v>603</v>
      </c>
      <c r="B8" s="2">
        <v>45</v>
      </c>
      <c r="Q8" s="5" t="s">
        <v>603</v>
      </c>
      <c r="R8" s="2">
        <v>10000</v>
      </c>
      <c r="S8" s="2">
        <v>220000</v>
      </c>
      <c r="T8" s="2">
        <v>41470.833333333336</v>
      </c>
    </row>
    <row r="9" spans="1:20" x14ac:dyDescent="0.25">
      <c r="A9" s="5" t="s">
        <v>604</v>
      </c>
      <c r="B9" s="2">
        <v>20</v>
      </c>
      <c r="Q9" s="5" t="s">
        <v>604</v>
      </c>
      <c r="R9" s="2">
        <v>15000</v>
      </c>
      <c r="S9" s="2">
        <v>300000</v>
      </c>
      <c r="T9" s="2">
        <v>39052.631578947367</v>
      </c>
    </row>
    <row r="10" spans="1:20" x14ac:dyDescent="0.25">
      <c r="A10" s="5" t="s">
        <v>605</v>
      </c>
      <c r="B10" s="2">
        <v>21</v>
      </c>
      <c r="Q10" s="5" t="s">
        <v>605</v>
      </c>
      <c r="R10" s="2">
        <v>15000</v>
      </c>
      <c r="S10" s="2">
        <v>382628</v>
      </c>
      <c r="T10" s="2">
        <v>89868.222222222219</v>
      </c>
    </row>
    <row r="11" spans="1:20" x14ac:dyDescent="0.25">
      <c r="A11" s="5" t="s">
        <v>606</v>
      </c>
      <c r="B11" s="2">
        <v>28</v>
      </c>
      <c r="Q11" s="5" t="s">
        <v>606</v>
      </c>
      <c r="R11" s="2">
        <v>10775</v>
      </c>
      <c r="S11" s="2">
        <v>325000</v>
      </c>
      <c r="T11" s="2">
        <v>56404</v>
      </c>
    </row>
    <row r="12" spans="1:20" x14ac:dyDescent="0.25">
      <c r="A12" s="5" t="s">
        <v>607</v>
      </c>
      <c r="B12" s="2">
        <v>29</v>
      </c>
      <c r="Q12" s="5" t="s">
        <v>607</v>
      </c>
      <c r="R12" s="2">
        <v>10775</v>
      </c>
      <c r="S12" s="2">
        <v>240000</v>
      </c>
      <c r="T12" s="2">
        <v>42030.172413793101</v>
      </c>
    </row>
    <row r="13" spans="1:20" x14ac:dyDescent="0.25">
      <c r="A13" s="5" t="s">
        <v>608</v>
      </c>
      <c r="B13" s="2">
        <v>28</v>
      </c>
      <c r="Q13" s="5" t="s">
        <v>608</v>
      </c>
      <c r="R13" s="2">
        <v>10775</v>
      </c>
      <c r="S13" s="2">
        <v>500000</v>
      </c>
      <c r="T13" s="2">
        <v>68233.928571428565</v>
      </c>
    </row>
    <row r="14" spans="1:20" x14ac:dyDescent="0.25">
      <c r="A14" s="5" t="s">
        <v>495</v>
      </c>
      <c r="B14" s="2">
        <v>289</v>
      </c>
      <c r="Q14" s="5" t="s">
        <v>495</v>
      </c>
      <c r="R14" s="2">
        <v>8500</v>
      </c>
      <c r="S14" s="2">
        <v>500000</v>
      </c>
      <c r="T14" s="2">
        <v>49819.845018450185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P15"/>
  <sheetViews>
    <sheetView workbookViewId="0">
      <selection activeCell="M8" sqref="M8"/>
    </sheetView>
  </sheetViews>
  <sheetFormatPr defaultRowHeight="15" x14ac:dyDescent="0.25"/>
  <cols>
    <col min="1" max="1" width="13.140625" bestFit="1" customWidth="1"/>
    <col min="2" max="2" width="20.85546875" bestFit="1" customWidth="1"/>
    <col min="13" max="13" width="13.140625" bestFit="1" customWidth="1"/>
    <col min="14" max="14" width="12.28515625" customWidth="1"/>
    <col min="15" max="15" width="13.7109375" customWidth="1"/>
    <col min="16" max="16" width="17.28515625" bestFit="1" customWidth="1"/>
  </cols>
  <sheetData>
    <row r="3" spans="1:16" x14ac:dyDescent="0.25">
      <c r="A3" s="1" t="s">
        <v>494</v>
      </c>
      <c r="B3" t="s">
        <v>613</v>
      </c>
      <c r="M3" s="1" t="s">
        <v>494</v>
      </c>
      <c r="N3" t="s">
        <v>621</v>
      </c>
      <c r="O3" t="s">
        <v>717</v>
      </c>
      <c r="P3" t="s">
        <v>718</v>
      </c>
    </row>
    <row r="4" spans="1:16" x14ac:dyDescent="0.25">
      <c r="A4" s="5" t="s">
        <v>15</v>
      </c>
      <c r="B4" s="2">
        <v>35</v>
      </c>
      <c r="M4" s="5" t="s">
        <v>15</v>
      </c>
      <c r="N4" s="2">
        <v>18000</v>
      </c>
      <c r="O4" s="2">
        <v>500000</v>
      </c>
      <c r="P4" s="2">
        <v>102766.43478260869</v>
      </c>
    </row>
    <row r="5" spans="1:16" x14ac:dyDescent="0.25">
      <c r="A5" s="5" t="s">
        <v>90</v>
      </c>
      <c r="B5" s="2">
        <v>6</v>
      </c>
      <c r="M5" s="5" t="s">
        <v>90</v>
      </c>
      <c r="N5" s="2">
        <v>9000</v>
      </c>
      <c r="O5" s="2">
        <v>10775</v>
      </c>
      <c r="P5" s="2">
        <v>10350</v>
      </c>
    </row>
    <row r="6" spans="1:16" x14ac:dyDescent="0.25">
      <c r="A6" s="5" t="s">
        <v>409</v>
      </c>
      <c r="B6" s="2">
        <v>8</v>
      </c>
      <c r="M6" s="5" t="s">
        <v>409</v>
      </c>
      <c r="N6" s="2">
        <v>10775</v>
      </c>
      <c r="O6" s="2">
        <v>10775</v>
      </c>
      <c r="P6" s="2">
        <v>10775</v>
      </c>
    </row>
    <row r="7" spans="1:16" x14ac:dyDescent="0.25">
      <c r="A7" s="5" t="s">
        <v>555</v>
      </c>
      <c r="B7" s="2">
        <v>143</v>
      </c>
      <c r="M7" s="5" t="s">
        <v>555</v>
      </c>
      <c r="N7" s="2">
        <v>8500</v>
      </c>
      <c r="O7" s="2">
        <v>325000</v>
      </c>
      <c r="P7" s="2">
        <v>42270.598591549293</v>
      </c>
    </row>
    <row r="8" spans="1:16" x14ac:dyDescent="0.25">
      <c r="A8" s="5" t="s">
        <v>60</v>
      </c>
      <c r="B8" s="2">
        <v>7</v>
      </c>
      <c r="M8" s="5" t="s">
        <v>60</v>
      </c>
      <c r="N8" s="2">
        <v>24000</v>
      </c>
      <c r="O8" s="2">
        <v>300000</v>
      </c>
      <c r="P8" s="2">
        <v>101833.33333333333</v>
      </c>
    </row>
    <row r="9" spans="1:16" x14ac:dyDescent="0.25">
      <c r="A9" s="5" t="s">
        <v>57</v>
      </c>
      <c r="B9" s="2">
        <v>8</v>
      </c>
      <c r="M9" s="5" t="s">
        <v>57</v>
      </c>
      <c r="N9" s="2">
        <v>21500</v>
      </c>
      <c r="O9" s="2">
        <v>200000</v>
      </c>
      <c r="P9" s="2">
        <v>52437.5</v>
      </c>
    </row>
    <row r="10" spans="1:16" x14ac:dyDescent="0.25">
      <c r="A10" s="5" t="s">
        <v>569</v>
      </c>
      <c r="B10" s="2">
        <v>1</v>
      </c>
      <c r="M10" s="5" t="s">
        <v>569</v>
      </c>
      <c r="N10" s="2">
        <v>250000</v>
      </c>
      <c r="O10" s="2">
        <v>250000</v>
      </c>
      <c r="P10" s="2">
        <v>250000</v>
      </c>
    </row>
    <row r="11" spans="1:16" x14ac:dyDescent="0.25">
      <c r="A11" s="5" t="s">
        <v>123</v>
      </c>
      <c r="B11" s="2">
        <v>6</v>
      </c>
      <c r="M11" s="5" t="s">
        <v>123</v>
      </c>
      <c r="N11" s="2">
        <v>10775</v>
      </c>
      <c r="O11" s="2">
        <v>250000</v>
      </c>
      <c r="P11" s="2">
        <v>65387.5</v>
      </c>
    </row>
    <row r="12" spans="1:16" x14ac:dyDescent="0.25">
      <c r="A12" s="5" t="s">
        <v>55</v>
      </c>
      <c r="B12" s="2">
        <v>70</v>
      </c>
      <c r="M12" s="5" t="s">
        <v>55</v>
      </c>
      <c r="N12" s="2">
        <v>10000</v>
      </c>
      <c r="O12" s="2">
        <v>300000</v>
      </c>
      <c r="P12" s="2">
        <v>46582.089552238809</v>
      </c>
    </row>
    <row r="13" spans="1:16" x14ac:dyDescent="0.25">
      <c r="A13" s="5" t="s">
        <v>653</v>
      </c>
      <c r="B13" s="2">
        <v>1</v>
      </c>
      <c r="M13" s="5" t="s">
        <v>653</v>
      </c>
      <c r="N13" s="2">
        <v>23000</v>
      </c>
      <c r="O13" s="2">
        <v>23000</v>
      </c>
      <c r="P13" s="2">
        <v>23000</v>
      </c>
    </row>
    <row r="14" spans="1:16" x14ac:dyDescent="0.25">
      <c r="A14" s="5" t="s">
        <v>133</v>
      </c>
      <c r="B14" s="2">
        <v>4</v>
      </c>
      <c r="M14" s="5" t="s">
        <v>133</v>
      </c>
      <c r="N14" s="2">
        <v>30000</v>
      </c>
      <c r="O14" s="2">
        <v>75000</v>
      </c>
      <c r="P14" s="2">
        <v>56666.666666666664</v>
      </c>
    </row>
    <row r="15" spans="1:16" x14ac:dyDescent="0.25">
      <c r="A15" s="5" t="s">
        <v>495</v>
      </c>
      <c r="B15" s="2">
        <v>289</v>
      </c>
      <c r="M15" s="5" t="s">
        <v>495</v>
      </c>
      <c r="N15" s="2">
        <v>8500</v>
      </c>
      <c r="O15" s="2">
        <v>500000</v>
      </c>
      <c r="P15" s="2">
        <v>49819.845018450185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290"/>
  <sheetViews>
    <sheetView tabSelected="1" topLeftCell="H1" workbookViewId="0">
      <pane ySplit="1" topLeftCell="A162" activePane="bottomLeft" state="frozen"/>
      <selection pane="bottomLeft" activeCell="R167" sqref="R167"/>
    </sheetView>
  </sheetViews>
  <sheetFormatPr defaultRowHeight="15" x14ac:dyDescent="0.25"/>
  <cols>
    <col min="3" max="3" width="17.5703125" style="29" bestFit="1" customWidth="1"/>
    <col min="4" max="4" width="14.140625" style="18" customWidth="1"/>
    <col min="5" max="5" width="32.140625" customWidth="1"/>
    <col min="6" max="6" width="29.42578125" customWidth="1"/>
    <col min="7" max="7" width="34.5703125" style="2" customWidth="1"/>
    <col min="8" max="8" width="18.42578125" customWidth="1"/>
    <col min="9" max="9" width="25" customWidth="1"/>
    <col min="10" max="10" width="30.42578125" style="3" bestFit="1" customWidth="1"/>
    <col min="11" max="11" width="10.5703125" style="21" bestFit="1" customWidth="1"/>
    <col min="12" max="12" width="11.5703125" style="21" bestFit="1" customWidth="1"/>
    <col min="13" max="13" width="16.7109375" customWidth="1"/>
    <col min="14" max="14" width="22" customWidth="1"/>
    <col min="15" max="15" width="20.7109375" customWidth="1"/>
  </cols>
  <sheetData>
    <row r="1" spans="1:17" x14ac:dyDescent="0.25">
      <c r="A1" t="s">
        <v>0</v>
      </c>
      <c r="B1" t="s">
        <v>580</v>
      </c>
      <c r="C1" s="29" t="s">
        <v>497</v>
      </c>
      <c r="D1" s="34" t="s">
        <v>1</v>
      </c>
      <c r="E1" t="s">
        <v>2</v>
      </c>
      <c r="F1" t="s">
        <v>3</v>
      </c>
      <c r="G1" s="2" t="s">
        <v>4</v>
      </c>
      <c r="H1" t="s">
        <v>5</v>
      </c>
      <c r="I1" t="s">
        <v>6</v>
      </c>
      <c r="J1" s="3" t="s">
        <v>7</v>
      </c>
      <c r="K1" s="21" t="s">
        <v>8</v>
      </c>
      <c r="L1" s="21" t="s">
        <v>594</v>
      </c>
      <c r="M1" t="s">
        <v>9</v>
      </c>
      <c r="N1" t="s">
        <v>598</v>
      </c>
      <c r="O1" t="s">
        <v>11</v>
      </c>
      <c r="P1" t="s">
        <v>12</v>
      </c>
      <c r="Q1" t="s">
        <v>493</v>
      </c>
    </row>
    <row r="2" spans="1:17" hidden="1" x14ac:dyDescent="0.25">
      <c r="A2">
        <v>1</v>
      </c>
      <c r="B2">
        <v>2023</v>
      </c>
      <c r="C2" s="4" t="s">
        <v>599</v>
      </c>
      <c r="D2" s="18">
        <v>50910</v>
      </c>
      <c r="E2" t="s">
        <v>13</v>
      </c>
      <c r="F2" t="s">
        <v>122</v>
      </c>
      <c r="G2" t="s">
        <v>14</v>
      </c>
      <c r="H2" t="s">
        <v>15</v>
      </c>
      <c r="I2" t="s">
        <v>556</v>
      </c>
      <c r="J2" s="3">
        <v>44927</v>
      </c>
      <c r="K2" s="21">
        <v>40000</v>
      </c>
      <c r="M2" t="s">
        <v>16</v>
      </c>
      <c r="N2" t="s">
        <v>17</v>
      </c>
      <c r="O2" t="s">
        <v>18</v>
      </c>
      <c r="Q2">
        <v>1</v>
      </c>
    </row>
    <row r="3" spans="1:17" hidden="1" x14ac:dyDescent="0.25">
      <c r="A3">
        <v>2</v>
      </c>
      <c r="B3">
        <v>2023</v>
      </c>
      <c r="C3" s="4" t="s">
        <v>599</v>
      </c>
      <c r="D3" s="18">
        <v>41924</v>
      </c>
      <c r="E3" t="s">
        <v>19</v>
      </c>
      <c r="F3" t="s">
        <v>122</v>
      </c>
      <c r="G3" t="s">
        <v>425</v>
      </c>
      <c r="H3" t="s">
        <v>15</v>
      </c>
      <c r="I3" t="s">
        <v>20</v>
      </c>
      <c r="J3" s="3">
        <v>44921</v>
      </c>
      <c r="L3" s="21">
        <v>2700</v>
      </c>
      <c r="M3" t="s">
        <v>21</v>
      </c>
      <c r="N3" t="s">
        <v>22</v>
      </c>
      <c r="O3" t="s">
        <v>18</v>
      </c>
      <c r="Q3">
        <v>1</v>
      </c>
    </row>
    <row r="4" spans="1:17" hidden="1" x14ac:dyDescent="0.25">
      <c r="A4">
        <v>3</v>
      </c>
      <c r="B4">
        <v>2023</v>
      </c>
      <c r="C4" s="4" t="s">
        <v>599</v>
      </c>
      <c r="D4" s="18">
        <v>51185</v>
      </c>
      <c r="E4" t="s">
        <v>23</v>
      </c>
      <c r="F4" t="s">
        <v>24</v>
      </c>
      <c r="G4" t="s">
        <v>541</v>
      </c>
      <c r="H4" t="s">
        <v>555</v>
      </c>
      <c r="I4" t="s">
        <v>542</v>
      </c>
      <c r="J4" s="3">
        <v>44942</v>
      </c>
      <c r="K4" s="21">
        <v>45000</v>
      </c>
      <c r="M4" t="s">
        <v>25</v>
      </c>
      <c r="N4" t="s">
        <v>26</v>
      </c>
      <c r="O4" t="s">
        <v>18</v>
      </c>
      <c r="Q4">
        <v>1</v>
      </c>
    </row>
    <row r="5" spans="1:17" hidden="1" x14ac:dyDescent="0.25">
      <c r="A5">
        <v>4</v>
      </c>
      <c r="B5">
        <v>2023</v>
      </c>
      <c r="C5" s="4" t="s">
        <v>599</v>
      </c>
      <c r="D5" s="18">
        <v>51203</v>
      </c>
      <c r="E5" t="s">
        <v>27</v>
      </c>
      <c r="F5" t="s">
        <v>24</v>
      </c>
      <c r="G5" t="s">
        <v>541</v>
      </c>
      <c r="H5" t="s">
        <v>555</v>
      </c>
      <c r="I5" t="s">
        <v>542</v>
      </c>
      <c r="J5" s="3">
        <v>44942</v>
      </c>
      <c r="K5" s="21">
        <v>45000</v>
      </c>
      <c r="M5" t="s">
        <v>21</v>
      </c>
      <c r="N5" t="s">
        <v>26</v>
      </c>
      <c r="O5" t="s">
        <v>18</v>
      </c>
      <c r="Q5">
        <v>1</v>
      </c>
    </row>
    <row r="6" spans="1:17" hidden="1" x14ac:dyDescent="0.25">
      <c r="A6">
        <v>5</v>
      </c>
      <c r="B6">
        <v>2023</v>
      </c>
      <c r="C6" s="4" t="s">
        <v>599</v>
      </c>
      <c r="D6" s="18">
        <v>51200</v>
      </c>
      <c r="E6" t="s">
        <v>28</v>
      </c>
      <c r="F6" t="s">
        <v>24</v>
      </c>
      <c r="G6" t="s">
        <v>541</v>
      </c>
      <c r="H6" t="s">
        <v>555</v>
      </c>
      <c r="I6" t="s">
        <v>542</v>
      </c>
      <c r="J6" s="3">
        <v>44942</v>
      </c>
      <c r="K6" s="21">
        <v>45000</v>
      </c>
      <c r="M6" t="s">
        <v>16</v>
      </c>
      <c r="N6" t="s">
        <v>26</v>
      </c>
      <c r="O6" t="s">
        <v>18</v>
      </c>
      <c r="Q6">
        <v>1</v>
      </c>
    </row>
    <row r="7" spans="1:17" hidden="1" x14ac:dyDescent="0.25">
      <c r="A7">
        <v>6</v>
      </c>
      <c r="B7">
        <v>2023</v>
      </c>
      <c r="C7" s="4" t="s">
        <v>599</v>
      </c>
      <c r="D7" s="18">
        <v>51204</v>
      </c>
      <c r="E7" t="s">
        <v>29</v>
      </c>
      <c r="F7" t="s">
        <v>24</v>
      </c>
      <c r="G7" t="s">
        <v>541</v>
      </c>
      <c r="H7" t="s">
        <v>555</v>
      </c>
      <c r="I7" t="s">
        <v>542</v>
      </c>
      <c r="J7" s="3">
        <v>44942</v>
      </c>
      <c r="K7" s="21">
        <v>45000</v>
      </c>
      <c r="M7" t="s">
        <v>16</v>
      </c>
      <c r="N7" t="s">
        <v>26</v>
      </c>
      <c r="O7" t="s">
        <v>18</v>
      </c>
      <c r="Q7">
        <v>1</v>
      </c>
    </row>
    <row r="8" spans="1:17" hidden="1" x14ac:dyDescent="0.25">
      <c r="A8">
        <v>7</v>
      </c>
      <c r="B8">
        <v>2023</v>
      </c>
      <c r="C8" s="4" t="s">
        <v>599</v>
      </c>
      <c r="D8" s="18">
        <v>51188</v>
      </c>
      <c r="E8" t="s">
        <v>31</v>
      </c>
      <c r="F8" t="s">
        <v>24</v>
      </c>
      <c r="G8" t="s">
        <v>541</v>
      </c>
      <c r="H8" t="s">
        <v>555</v>
      </c>
      <c r="I8" t="s">
        <v>542</v>
      </c>
      <c r="J8" s="3">
        <v>44942</v>
      </c>
      <c r="K8" s="21">
        <v>45000</v>
      </c>
      <c r="M8" t="s">
        <v>25</v>
      </c>
      <c r="N8" t="s">
        <v>26</v>
      </c>
      <c r="O8" t="s">
        <v>18</v>
      </c>
      <c r="Q8">
        <v>1</v>
      </c>
    </row>
    <row r="9" spans="1:17" hidden="1" x14ac:dyDescent="0.25">
      <c r="A9">
        <v>8</v>
      </c>
      <c r="B9">
        <v>2023</v>
      </c>
      <c r="C9" s="4" t="s">
        <v>599</v>
      </c>
      <c r="D9" s="18">
        <v>51187</v>
      </c>
      <c r="E9" t="s">
        <v>32</v>
      </c>
      <c r="F9" t="s">
        <v>24</v>
      </c>
      <c r="G9" t="s">
        <v>541</v>
      </c>
      <c r="H9" t="s">
        <v>555</v>
      </c>
      <c r="I9" t="s">
        <v>542</v>
      </c>
      <c r="J9" s="3">
        <v>44942</v>
      </c>
      <c r="K9" s="21">
        <v>45000</v>
      </c>
      <c r="M9" t="s">
        <v>21</v>
      </c>
      <c r="N9" t="s">
        <v>26</v>
      </c>
      <c r="O9" t="s">
        <v>18</v>
      </c>
      <c r="Q9">
        <v>1</v>
      </c>
    </row>
    <row r="10" spans="1:17" hidden="1" x14ac:dyDescent="0.25">
      <c r="A10">
        <v>9</v>
      </c>
      <c r="B10">
        <v>2023</v>
      </c>
      <c r="C10" s="4" t="s">
        <v>599</v>
      </c>
      <c r="D10" s="18">
        <v>50952</v>
      </c>
      <c r="E10" t="s">
        <v>33</v>
      </c>
      <c r="F10" t="s">
        <v>34</v>
      </c>
      <c r="G10" s="2" t="s">
        <v>35</v>
      </c>
      <c r="H10" t="s">
        <v>555</v>
      </c>
      <c r="I10" t="s">
        <v>514</v>
      </c>
      <c r="J10" s="3">
        <v>44927</v>
      </c>
      <c r="K10" s="21">
        <v>13500</v>
      </c>
      <c r="M10" t="s">
        <v>21</v>
      </c>
      <c r="N10" t="s">
        <v>26</v>
      </c>
      <c r="O10" t="s">
        <v>18</v>
      </c>
      <c r="Q10">
        <v>1</v>
      </c>
    </row>
    <row r="11" spans="1:17" s="6" customFormat="1" hidden="1" x14ac:dyDescent="0.25">
      <c r="A11" s="6">
        <v>10</v>
      </c>
      <c r="B11" s="6">
        <v>2023</v>
      </c>
      <c r="C11" s="35" t="s">
        <v>599</v>
      </c>
      <c r="D11" s="19">
        <v>50884</v>
      </c>
      <c r="E11" s="6" t="s">
        <v>36</v>
      </c>
      <c r="F11" s="6" t="s">
        <v>128</v>
      </c>
      <c r="G11" s="6" t="s">
        <v>425</v>
      </c>
      <c r="H11" s="6" t="s">
        <v>15</v>
      </c>
      <c r="I11" s="6" t="s">
        <v>37</v>
      </c>
      <c r="J11" s="7">
        <v>44926</v>
      </c>
      <c r="K11" s="22"/>
      <c r="L11" s="22">
        <v>2800</v>
      </c>
      <c r="M11" s="6" t="s">
        <v>38</v>
      </c>
      <c r="N11" s="6" t="s">
        <v>22</v>
      </c>
      <c r="O11" s="6" t="s">
        <v>18</v>
      </c>
      <c r="Q11" s="6">
        <v>1</v>
      </c>
    </row>
    <row r="12" spans="1:17" hidden="1" x14ac:dyDescent="0.25">
      <c r="A12">
        <v>11</v>
      </c>
      <c r="B12">
        <v>2023</v>
      </c>
      <c r="C12" s="4" t="s">
        <v>599</v>
      </c>
      <c r="D12" s="18">
        <v>51190</v>
      </c>
      <c r="E12" t="s">
        <v>39</v>
      </c>
      <c r="F12" t="s">
        <v>40</v>
      </c>
      <c r="G12" t="s">
        <v>41</v>
      </c>
      <c r="H12" t="s">
        <v>555</v>
      </c>
      <c r="I12" t="s">
        <v>508</v>
      </c>
      <c r="J12" s="3">
        <v>44942</v>
      </c>
      <c r="K12" s="21">
        <v>32000</v>
      </c>
      <c r="M12" t="s">
        <v>21</v>
      </c>
      <c r="N12" t="s">
        <v>26</v>
      </c>
      <c r="O12" t="s">
        <v>18</v>
      </c>
      <c r="Q12">
        <v>1</v>
      </c>
    </row>
    <row r="13" spans="1:17" hidden="1" x14ac:dyDescent="0.25">
      <c r="A13">
        <v>12</v>
      </c>
      <c r="B13">
        <v>2023</v>
      </c>
      <c r="C13" s="4" t="s">
        <v>599</v>
      </c>
      <c r="D13" s="18">
        <v>51189</v>
      </c>
      <c r="E13" t="s">
        <v>42</v>
      </c>
      <c r="F13" t="s">
        <v>40</v>
      </c>
      <c r="G13" t="s">
        <v>41</v>
      </c>
      <c r="H13" t="s">
        <v>555</v>
      </c>
      <c r="I13" t="s">
        <v>556</v>
      </c>
      <c r="J13" s="3">
        <v>44942</v>
      </c>
      <c r="K13" s="21">
        <v>30000</v>
      </c>
      <c r="M13" t="s">
        <v>21</v>
      </c>
      <c r="N13" t="s">
        <v>26</v>
      </c>
      <c r="O13" t="s">
        <v>18</v>
      </c>
      <c r="Q13">
        <v>1</v>
      </c>
    </row>
    <row r="14" spans="1:17" hidden="1" x14ac:dyDescent="0.25">
      <c r="A14">
        <v>13</v>
      </c>
      <c r="B14">
        <v>2023</v>
      </c>
      <c r="C14" s="4" t="s">
        <v>599</v>
      </c>
      <c r="D14" s="18">
        <v>51194</v>
      </c>
      <c r="E14" t="s">
        <v>43</v>
      </c>
      <c r="F14" t="s">
        <v>40</v>
      </c>
      <c r="G14" t="s">
        <v>41</v>
      </c>
      <c r="H14" t="s">
        <v>555</v>
      </c>
      <c r="I14" t="s">
        <v>508</v>
      </c>
      <c r="J14" s="3">
        <v>44942</v>
      </c>
      <c r="K14" s="21">
        <v>28000</v>
      </c>
      <c r="M14" t="s">
        <v>21</v>
      </c>
      <c r="N14" t="s">
        <v>26</v>
      </c>
      <c r="O14" t="s">
        <v>18</v>
      </c>
      <c r="Q14">
        <v>1</v>
      </c>
    </row>
    <row r="15" spans="1:17" x14ac:dyDescent="0.25">
      <c r="A15">
        <v>14</v>
      </c>
      <c r="B15">
        <v>2023</v>
      </c>
      <c r="C15" s="4" t="s">
        <v>599</v>
      </c>
      <c r="D15" s="18">
        <v>51205</v>
      </c>
      <c r="E15" t="s">
        <v>44</v>
      </c>
      <c r="F15" t="s">
        <v>45</v>
      </c>
      <c r="G15" t="s">
        <v>41</v>
      </c>
      <c r="H15" t="s">
        <v>555</v>
      </c>
      <c r="I15" t="s">
        <v>508</v>
      </c>
      <c r="J15" s="3">
        <v>44942</v>
      </c>
      <c r="K15" s="21">
        <v>22000</v>
      </c>
      <c r="M15" t="s">
        <v>16</v>
      </c>
      <c r="N15" t="s">
        <v>26</v>
      </c>
      <c r="O15" t="s">
        <v>18</v>
      </c>
      <c r="Q15">
        <v>1</v>
      </c>
    </row>
    <row r="16" spans="1:17" x14ac:dyDescent="0.25">
      <c r="A16">
        <v>15</v>
      </c>
      <c r="B16">
        <v>2023</v>
      </c>
      <c r="C16" s="4" t="s">
        <v>599</v>
      </c>
      <c r="D16" s="18">
        <v>50890</v>
      </c>
      <c r="E16" t="s">
        <v>46</v>
      </c>
      <c r="F16" t="s">
        <v>45</v>
      </c>
      <c r="G16" t="s">
        <v>41</v>
      </c>
      <c r="H16" t="s">
        <v>555</v>
      </c>
      <c r="I16" t="s">
        <v>557</v>
      </c>
      <c r="J16" s="3">
        <v>44927</v>
      </c>
      <c r="K16" s="21">
        <v>30000</v>
      </c>
      <c r="M16" t="s">
        <v>30</v>
      </c>
      <c r="N16" t="s">
        <v>47</v>
      </c>
      <c r="O16" t="s">
        <v>18</v>
      </c>
      <c r="Q16">
        <v>1</v>
      </c>
    </row>
    <row r="17" spans="1:17" x14ac:dyDescent="0.25">
      <c r="A17">
        <v>16</v>
      </c>
      <c r="B17">
        <v>2023</v>
      </c>
      <c r="C17" s="4" t="s">
        <v>599</v>
      </c>
      <c r="D17" s="18">
        <v>51201</v>
      </c>
      <c r="E17" t="s">
        <v>48</v>
      </c>
      <c r="F17" t="s">
        <v>45</v>
      </c>
      <c r="G17" t="s">
        <v>41</v>
      </c>
      <c r="H17" t="s">
        <v>555</v>
      </c>
      <c r="I17" t="s">
        <v>557</v>
      </c>
      <c r="J17" s="3">
        <v>44942</v>
      </c>
      <c r="K17" s="21">
        <v>27000</v>
      </c>
      <c r="M17" t="s">
        <v>30</v>
      </c>
      <c r="N17" t="s">
        <v>47</v>
      </c>
      <c r="O17" t="s">
        <v>18</v>
      </c>
      <c r="Q17">
        <v>1</v>
      </c>
    </row>
    <row r="18" spans="1:17" hidden="1" x14ac:dyDescent="0.25">
      <c r="A18">
        <v>17</v>
      </c>
      <c r="B18">
        <v>2023</v>
      </c>
      <c r="C18" s="4" t="s">
        <v>599</v>
      </c>
      <c r="D18" s="18">
        <v>50899</v>
      </c>
      <c r="E18" t="s">
        <v>49</v>
      </c>
      <c r="F18" t="s">
        <v>50</v>
      </c>
      <c r="G18" s="2" t="s">
        <v>35</v>
      </c>
      <c r="H18" t="s">
        <v>555</v>
      </c>
      <c r="I18" t="s">
        <v>514</v>
      </c>
      <c r="J18" s="3">
        <v>44927</v>
      </c>
      <c r="K18" s="21">
        <v>12000</v>
      </c>
      <c r="M18" t="s">
        <v>21</v>
      </c>
      <c r="N18" t="s">
        <v>47</v>
      </c>
      <c r="O18" t="s">
        <v>18</v>
      </c>
      <c r="Q18">
        <v>1</v>
      </c>
    </row>
    <row r="19" spans="1:17" hidden="1" x14ac:dyDescent="0.25">
      <c r="A19">
        <v>18</v>
      </c>
      <c r="B19">
        <v>2023</v>
      </c>
      <c r="C19" s="4" t="s">
        <v>599</v>
      </c>
      <c r="D19" s="18">
        <v>51196</v>
      </c>
      <c r="E19" t="s">
        <v>51</v>
      </c>
      <c r="F19" t="s">
        <v>52</v>
      </c>
      <c r="G19" s="2" t="s">
        <v>35</v>
      </c>
      <c r="H19" t="s">
        <v>555</v>
      </c>
      <c r="I19" t="s">
        <v>557</v>
      </c>
      <c r="J19" s="3">
        <v>44942</v>
      </c>
      <c r="K19" s="21">
        <v>10000</v>
      </c>
      <c r="M19" t="s">
        <v>53</v>
      </c>
      <c r="N19" t="s">
        <v>26</v>
      </c>
      <c r="O19" t="s">
        <v>18</v>
      </c>
      <c r="Q19">
        <v>1</v>
      </c>
    </row>
    <row r="20" spans="1:17" hidden="1" x14ac:dyDescent="0.25">
      <c r="A20">
        <v>19</v>
      </c>
      <c r="B20">
        <v>2023</v>
      </c>
      <c r="C20" s="4" t="s">
        <v>599</v>
      </c>
      <c r="D20" s="18">
        <v>51285</v>
      </c>
      <c r="E20" t="s">
        <v>54</v>
      </c>
      <c r="F20" t="s">
        <v>52</v>
      </c>
      <c r="G20" s="2" t="s">
        <v>35</v>
      </c>
      <c r="H20" t="s">
        <v>55</v>
      </c>
      <c r="I20" t="s">
        <v>514</v>
      </c>
      <c r="J20" s="3">
        <v>44942</v>
      </c>
      <c r="K20" s="21">
        <v>10000</v>
      </c>
      <c r="M20" t="s">
        <v>30</v>
      </c>
      <c r="N20" t="s">
        <v>47</v>
      </c>
      <c r="O20" t="s">
        <v>18</v>
      </c>
      <c r="Q20">
        <v>1</v>
      </c>
    </row>
    <row r="21" spans="1:17" hidden="1" x14ac:dyDescent="0.25">
      <c r="A21" s="24">
        <v>20</v>
      </c>
      <c r="B21">
        <v>2023</v>
      </c>
      <c r="C21" s="4" t="s">
        <v>599</v>
      </c>
      <c r="D21" s="18">
        <v>50887</v>
      </c>
      <c r="E21" t="s">
        <v>56</v>
      </c>
      <c r="F21" t="s">
        <v>526</v>
      </c>
      <c r="G21" t="s">
        <v>541</v>
      </c>
      <c r="H21" t="s">
        <v>57</v>
      </c>
      <c r="I21" t="s">
        <v>543</v>
      </c>
      <c r="J21" s="3">
        <v>44919</v>
      </c>
      <c r="K21" s="21">
        <v>21500</v>
      </c>
      <c r="M21" t="s">
        <v>58</v>
      </c>
      <c r="N21" t="s">
        <v>17</v>
      </c>
      <c r="O21" t="s">
        <v>18</v>
      </c>
      <c r="Q21">
        <v>1</v>
      </c>
    </row>
    <row r="22" spans="1:17" hidden="1" x14ac:dyDescent="0.25">
      <c r="A22">
        <v>21</v>
      </c>
      <c r="B22">
        <v>2023</v>
      </c>
      <c r="C22" s="4" t="s">
        <v>599</v>
      </c>
      <c r="D22" s="18">
        <v>50901</v>
      </c>
      <c r="E22" t="s">
        <v>59</v>
      </c>
      <c r="F22" t="s">
        <v>150</v>
      </c>
      <c r="G22" t="s">
        <v>541</v>
      </c>
      <c r="H22" t="s">
        <v>60</v>
      </c>
      <c r="I22" t="s">
        <v>546</v>
      </c>
      <c r="J22" s="3">
        <v>44927</v>
      </c>
      <c r="K22" s="21">
        <v>65000</v>
      </c>
      <c r="M22" t="s">
        <v>61</v>
      </c>
      <c r="N22" t="s">
        <v>26</v>
      </c>
      <c r="O22" t="s">
        <v>18</v>
      </c>
      <c r="Q22">
        <v>1</v>
      </c>
    </row>
    <row r="23" spans="1:17" x14ac:dyDescent="0.25">
      <c r="A23">
        <v>22</v>
      </c>
      <c r="B23">
        <v>2023</v>
      </c>
      <c r="C23" s="4" t="s">
        <v>599</v>
      </c>
      <c r="D23" s="18">
        <v>50903</v>
      </c>
      <c r="E23" t="s">
        <v>62</v>
      </c>
      <c r="F23" t="s">
        <v>45</v>
      </c>
      <c r="G23" t="s">
        <v>541</v>
      </c>
      <c r="H23" t="s">
        <v>55</v>
      </c>
      <c r="I23" t="s">
        <v>543</v>
      </c>
      <c r="J23" s="3">
        <v>44927</v>
      </c>
      <c r="K23" s="21">
        <v>23000</v>
      </c>
      <c r="M23" t="s">
        <v>30</v>
      </c>
      <c r="N23" t="s">
        <v>47</v>
      </c>
      <c r="O23" t="s">
        <v>18</v>
      </c>
      <c r="Q23">
        <v>1</v>
      </c>
    </row>
    <row r="24" spans="1:17" s="24" customFormat="1" x14ac:dyDescent="0.25">
      <c r="A24" s="24">
        <v>23</v>
      </c>
      <c r="B24">
        <v>2023</v>
      </c>
      <c r="C24" s="4" t="s">
        <v>599</v>
      </c>
      <c r="D24" s="26">
        <v>50902</v>
      </c>
      <c r="E24" s="24" t="s">
        <v>63</v>
      </c>
      <c r="F24" s="24" t="s">
        <v>45</v>
      </c>
      <c r="G24" s="24" t="s">
        <v>541</v>
      </c>
      <c r="H24" s="24" t="s">
        <v>653</v>
      </c>
      <c r="I24" s="24" t="s">
        <v>558</v>
      </c>
      <c r="J24" s="25">
        <v>44927</v>
      </c>
      <c r="K24" s="27">
        <v>23000</v>
      </c>
      <c r="L24" s="27"/>
      <c r="M24" s="24" t="s">
        <v>548</v>
      </c>
      <c r="N24" s="24" t="s">
        <v>17</v>
      </c>
      <c r="O24" s="24" t="s">
        <v>18</v>
      </c>
      <c r="Q24" s="24">
        <v>1</v>
      </c>
    </row>
    <row r="25" spans="1:17" hidden="1" x14ac:dyDescent="0.25">
      <c r="A25">
        <v>24</v>
      </c>
      <c r="B25">
        <v>2023</v>
      </c>
      <c r="C25" s="4" t="s">
        <v>599</v>
      </c>
      <c r="D25" s="18">
        <v>51186</v>
      </c>
      <c r="E25" t="s">
        <v>64</v>
      </c>
      <c r="F25" t="s">
        <v>524</v>
      </c>
      <c r="G25" t="s">
        <v>541</v>
      </c>
      <c r="H25" t="s">
        <v>60</v>
      </c>
      <c r="I25" t="s">
        <v>546</v>
      </c>
      <c r="J25" s="3">
        <v>44942</v>
      </c>
      <c r="K25" s="21">
        <v>32000</v>
      </c>
      <c r="M25" t="s">
        <v>21</v>
      </c>
      <c r="N25" t="s">
        <v>47</v>
      </c>
      <c r="O25" t="s">
        <v>18</v>
      </c>
      <c r="Q25">
        <v>1</v>
      </c>
    </row>
    <row r="26" spans="1:17" hidden="1" x14ac:dyDescent="0.25">
      <c r="A26">
        <v>25</v>
      </c>
      <c r="B26">
        <v>2023</v>
      </c>
      <c r="C26" s="4" t="s">
        <v>599</v>
      </c>
      <c r="D26" s="18">
        <v>51192</v>
      </c>
      <c r="E26" t="s">
        <v>65</v>
      </c>
      <c r="F26" t="s">
        <v>50</v>
      </c>
      <c r="G26" s="2" t="s">
        <v>35</v>
      </c>
      <c r="H26" t="s">
        <v>555</v>
      </c>
      <c r="I26" t="s">
        <v>514</v>
      </c>
      <c r="J26" s="3">
        <v>44942</v>
      </c>
      <c r="K26" s="21">
        <v>12000</v>
      </c>
      <c r="M26" t="s">
        <v>58</v>
      </c>
      <c r="N26" t="s">
        <v>26</v>
      </c>
      <c r="O26" t="s">
        <v>18</v>
      </c>
      <c r="Q26">
        <v>1</v>
      </c>
    </row>
    <row r="27" spans="1:17" hidden="1" x14ac:dyDescent="0.25">
      <c r="A27">
        <v>26</v>
      </c>
      <c r="B27">
        <v>2023</v>
      </c>
      <c r="C27" s="4" t="s">
        <v>599</v>
      </c>
      <c r="D27" s="18">
        <v>50898</v>
      </c>
      <c r="E27" t="s">
        <v>66</v>
      </c>
      <c r="F27" t="s">
        <v>150</v>
      </c>
      <c r="G27" t="s">
        <v>67</v>
      </c>
      <c r="H27" t="s">
        <v>123</v>
      </c>
      <c r="I27" t="s">
        <v>498</v>
      </c>
      <c r="J27" s="3">
        <v>44927</v>
      </c>
      <c r="K27" s="21">
        <v>40000</v>
      </c>
      <c r="M27" t="s">
        <v>68</v>
      </c>
      <c r="N27" t="s">
        <v>17</v>
      </c>
      <c r="O27" t="s">
        <v>18</v>
      </c>
      <c r="Q27">
        <v>1</v>
      </c>
    </row>
    <row r="28" spans="1:17" hidden="1" x14ac:dyDescent="0.25">
      <c r="A28">
        <v>27</v>
      </c>
      <c r="B28">
        <v>2023</v>
      </c>
      <c r="C28" s="4" t="s">
        <v>599</v>
      </c>
      <c r="D28" s="18">
        <v>50904</v>
      </c>
      <c r="E28" t="s">
        <v>69</v>
      </c>
      <c r="F28" t="s">
        <v>164</v>
      </c>
      <c r="G28" t="s">
        <v>67</v>
      </c>
      <c r="H28" t="s">
        <v>123</v>
      </c>
      <c r="I28" t="s">
        <v>498</v>
      </c>
      <c r="J28" s="3">
        <v>44933</v>
      </c>
      <c r="K28" s="21">
        <v>70000</v>
      </c>
      <c r="M28" t="s">
        <v>68</v>
      </c>
      <c r="N28" t="s">
        <v>47</v>
      </c>
      <c r="O28" t="s">
        <v>18</v>
      </c>
      <c r="Q28">
        <v>1</v>
      </c>
    </row>
    <row r="29" spans="1:17" hidden="1" x14ac:dyDescent="0.25">
      <c r="A29">
        <v>28</v>
      </c>
      <c r="B29">
        <v>2023</v>
      </c>
      <c r="C29" s="4" t="s">
        <v>599</v>
      </c>
      <c r="D29" s="18">
        <v>51014</v>
      </c>
      <c r="E29" t="s">
        <v>652</v>
      </c>
      <c r="F29" t="s">
        <v>70</v>
      </c>
      <c r="G29" t="s">
        <v>71</v>
      </c>
      <c r="H29" t="s">
        <v>55</v>
      </c>
      <c r="I29" t="s">
        <v>499</v>
      </c>
      <c r="J29" s="3">
        <v>44930</v>
      </c>
      <c r="K29" s="21">
        <v>60000</v>
      </c>
      <c r="M29" t="s">
        <v>30</v>
      </c>
      <c r="N29" t="s">
        <v>47</v>
      </c>
      <c r="O29" t="s">
        <v>18</v>
      </c>
      <c r="Q29">
        <v>1</v>
      </c>
    </row>
    <row r="30" spans="1:17" hidden="1" x14ac:dyDescent="0.25">
      <c r="A30">
        <v>29</v>
      </c>
      <c r="B30">
        <v>2023</v>
      </c>
      <c r="C30" s="4" t="s">
        <v>599</v>
      </c>
      <c r="D30" s="18">
        <v>51088</v>
      </c>
      <c r="E30" t="s">
        <v>72</v>
      </c>
      <c r="F30" t="s">
        <v>388</v>
      </c>
      <c r="G30" t="s">
        <v>71</v>
      </c>
      <c r="H30" t="s">
        <v>55</v>
      </c>
      <c r="I30" t="s">
        <v>499</v>
      </c>
      <c r="J30" s="3">
        <v>44934</v>
      </c>
      <c r="K30" s="21">
        <v>35000</v>
      </c>
      <c r="M30" t="s">
        <v>30</v>
      </c>
      <c r="N30" t="s">
        <v>47</v>
      </c>
      <c r="O30" t="s">
        <v>18</v>
      </c>
      <c r="Q30">
        <v>1</v>
      </c>
    </row>
    <row r="31" spans="1:17" hidden="1" x14ac:dyDescent="0.25">
      <c r="A31" s="24">
        <v>30</v>
      </c>
      <c r="B31">
        <v>2023</v>
      </c>
      <c r="C31" s="4" t="s">
        <v>599</v>
      </c>
      <c r="D31" s="18">
        <v>51087</v>
      </c>
      <c r="E31" t="s">
        <v>73</v>
      </c>
      <c r="F31" t="s">
        <v>388</v>
      </c>
      <c r="G31" t="s">
        <v>71</v>
      </c>
      <c r="H31" t="s">
        <v>55</v>
      </c>
      <c r="I31" t="s">
        <v>499</v>
      </c>
      <c r="J31" s="3">
        <v>44934</v>
      </c>
      <c r="K31" s="21">
        <v>25000</v>
      </c>
      <c r="M31" t="s">
        <v>30</v>
      </c>
      <c r="N31" t="s">
        <v>47</v>
      </c>
      <c r="O31" t="s">
        <v>18</v>
      </c>
      <c r="Q31">
        <v>1</v>
      </c>
    </row>
    <row r="32" spans="1:17" hidden="1" x14ac:dyDescent="0.25">
      <c r="A32">
        <v>31</v>
      </c>
      <c r="B32">
        <v>2023</v>
      </c>
      <c r="C32" s="4" t="s">
        <v>599</v>
      </c>
      <c r="D32" s="18">
        <v>51281</v>
      </c>
      <c r="E32" t="s">
        <v>74</v>
      </c>
      <c r="F32" t="s">
        <v>70</v>
      </c>
      <c r="G32" t="s">
        <v>71</v>
      </c>
      <c r="H32" t="s">
        <v>55</v>
      </c>
      <c r="I32" t="s">
        <v>499</v>
      </c>
      <c r="J32" s="3">
        <v>44938</v>
      </c>
      <c r="K32" s="21">
        <v>50000</v>
      </c>
      <c r="M32" t="s">
        <v>30</v>
      </c>
      <c r="N32" t="s">
        <v>47</v>
      </c>
      <c r="O32" t="s">
        <v>18</v>
      </c>
      <c r="Q32">
        <v>1</v>
      </c>
    </row>
    <row r="33" spans="1:17" hidden="1" x14ac:dyDescent="0.25">
      <c r="A33">
        <v>32</v>
      </c>
      <c r="B33">
        <v>2023</v>
      </c>
      <c r="C33" s="4" t="s">
        <v>599</v>
      </c>
      <c r="D33" s="18">
        <v>51284</v>
      </c>
      <c r="E33" t="s">
        <v>625</v>
      </c>
      <c r="F33" t="s">
        <v>388</v>
      </c>
      <c r="G33" t="s">
        <v>71</v>
      </c>
      <c r="H33" t="s">
        <v>55</v>
      </c>
      <c r="I33" t="s">
        <v>499</v>
      </c>
      <c r="J33" s="3">
        <v>44938</v>
      </c>
      <c r="K33" s="21">
        <v>35000</v>
      </c>
      <c r="M33" t="s">
        <v>30</v>
      </c>
      <c r="N33" t="s">
        <v>47</v>
      </c>
      <c r="O33" t="s">
        <v>18</v>
      </c>
      <c r="Q33">
        <v>1</v>
      </c>
    </row>
    <row r="34" spans="1:17" hidden="1" x14ac:dyDescent="0.25">
      <c r="A34">
        <v>33</v>
      </c>
      <c r="B34">
        <v>2023</v>
      </c>
      <c r="C34" s="4" t="s">
        <v>599</v>
      </c>
      <c r="D34" s="18">
        <v>51199</v>
      </c>
      <c r="E34" t="s">
        <v>75</v>
      </c>
      <c r="F34" t="s">
        <v>507</v>
      </c>
      <c r="G34" t="s">
        <v>76</v>
      </c>
      <c r="H34" t="s">
        <v>555</v>
      </c>
      <c r="I34" t="s">
        <v>500</v>
      </c>
      <c r="J34" s="3">
        <v>44942</v>
      </c>
      <c r="K34" s="21">
        <v>22000</v>
      </c>
      <c r="M34" t="s">
        <v>58</v>
      </c>
      <c r="N34" t="s">
        <v>47</v>
      </c>
      <c r="O34" t="s">
        <v>18</v>
      </c>
      <c r="Q34">
        <v>1</v>
      </c>
    </row>
    <row r="35" spans="1:17" hidden="1" x14ac:dyDescent="0.25">
      <c r="A35">
        <v>34</v>
      </c>
      <c r="B35">
        <v>2023</v>
      </c>
      <c r="C35" s="4" t="s">
        <v>599</v>
      </c>
      <c r="D35" s="18">
        <v>50893</v>
      </c>
      <c r="E35" t="s">
        <v>626</v>
      </c>
      <c r="F35" t="s">
        <v>654</v>
      </c>
      <c r="G35" t="s">
        <v>35</v>
      </c>
      <c r="H35" t="s">
        <v>123</v>
      </c>
      <c r="I35" t="s">
        <v>514</v>
      </c>
      <c r="J35" s="3">
        <v>44927</v>
      </c>
      <c r="K35" s="21">
        <v>10775</v>
      </c>
      <c r="M35" t="s">
        <v>68</v>
      </c>
      <c r="N35" t="s">
        <v>47</v>
      </c>
      <c r="O35" t="s">
        <v>18</v>
      </c>
      <c r="Q35">
        <v>1</v>
      </c>
    </row>
    <row r="36" spans="1:17" hidden="1" x14ac:dyDescent="0.25">
      <c r="A36">
        <v>35</v>
      </c>
      <c r="B36">
        <v>2023</v>
      </c>
      <c r="C36" s="4" t="s">
        <v>599</v>
      </c>
      <c r="D36" s="18">
        <v>50894</v>
      </c>
      <c r="E36" t="s">
        <v>77</v>
      </c>
      <c r="F36" t="s">
        <v>654</v>
      </c>
      <c r="G36" t="s">
        <v>35</v>
      </c>
      <c r="H36" t="s">
        <v>123</v>
      </c>
      <c r="I36" t="s">
        <v>514</v>
      </c>
      <c r="J36" s="3">
        <v>44927</v>
      </c>
      <c r="K36" s="21">
        <v>10775</v>
      </c>
      <c r="M36" t="s">
        <v>68</v>
      </c>
      <c r="N36" t="s">
        <v>47</v>
      </c>
      <c r="O36" t="s">
        <v>18</v>
      </c>
      <c r="Q36">
        <v>1</v>
      </c>
    </row>
    <row r="37" spans="1:17" hidden="1" x14ac:dyDescent="0.25">
      <c r="A37">
        <v>36</v>
      </c>
      <c r="B37">
        <v>2023</v>
      </c>
      <c r="C37" s="4" t="s">
        <v>599</v>
      </c>
      <c r="D37" s="18">
        <v>50897</v>
      </c>
      <c r="E37" t="s">
        <v>627</v>
      </c>
      <c r="F37" t="s">
        <v>655</v>
      </c>
      <c r="G37" t="s">
        <v>35</v>
      </c>
      <c r="H37" t="s">
        <v>555</v>
      </c>
      <c r="I37" t="s">
        <v>514</v>
      </c>
      <c r="J37" s="3">
        <v>44927</v>
      </c>
      <c r="K37" s="21">
        <v>10775</v>
      </c>
      <c r="M37" t="s">
        <v>78</v>
      </c>
      <c r="N37" t="s">
        <v>47</v>
      </c>
      <c r="O37" t="s">
        <v>18</v>
      </c>
      <c r="Q37">
        <v>1</v>
      </c>
    </row>
    <row r="38" spans="1:17" hidden="1" x14ac:dyDescent="0.25">
      <c r="A38">
        <v>37</v>
      </c>
      <c r="B38">
        <v>2023</v>
      </c>
      <c r="C38" s="4" t="s">
        <v>599</v>
      </c>
      <c r="D38" s="18">
        <v>50896</v>
      </c>
      <c r="E38" t="s">
        <v>79</v>
      </c>
      <c r="F38" t="s">
        <v>655</v>
      </c>
      <c r="G38" t="s">
        <v>35</v>
      </c>
      <c r="H38" t="s">
        <v>555</v>
      </c>
      <c r="I38" t="s">
        <v>514</v>
      </c>
      <c r="J38" s="3">
        <v>44927</v>
      </c>
      <c r="K38" s="21">
        <v>10775</v>
      </c>
      <c r="M38" t="s">
        <v>21</v>
      </c>
      <c r="N38" t="s">
        <v>47</v>
      </c>
      <c r="O38" t="s">
        <v>18</v>
      </c>
      <c r="Q38">
        <v>1</v>
      </c>
    </row>
    <row r="39" spans="1:17" hidden="1" x14ac:dyDescent="0.25">
      <c r="A39">
        <v>38</v>
      </c>
      <c r="B39">
        <v>2023</v>
      </c>
      <c r="C39" s="4" t="s">
        <v>599</v>
      </c>
      <c r="D39" s="18">
        <v>50895</v>
      </c>
      <c r="E39" t="s">
        <v>80</v>
      </c>
      <c r="F39" t="s">
        <v>655</v>
      </c>
      <c r="G39" t="s">
        <v>35</v>
      </c>
      <c r="H39" t="s">
        <v>555</v>
      </c>
      <c r="I39" t="s">
        <v>514</v>
      </c>
      <c r="J39" s="3">
        <v>44927</v>
      </c>
      <c r="K39" s="21">
        <v>10775</v>
      </c>
      <c r="M39" t="s">
        <v>21</v>
      </c>
      <c r="N39" t="s">
        <v>47</v>
      </c>
      <c r="O39" t="s">
        <v>18</v>
      </c>
      <c r="Q39">
        <v>1</v>
      </c>
    </row>
    <row r="40" spans="1:17" hidden="1" x14ac:dyDescent="0.25">
      <c r="A40">
        <v>39</v>
      </c>
      <c r="B40">
        <v>2023</v>
      </c>
      <c r="C40" s="4" t="s">
        <v>599</v>
      </c>
      <c r="D40" s="18">
        <v>51191</v>
      </c>
      <c r="E40" t="s">
        <v>81</v>
      </c>
      <c r="F40" t="s">
        <v>654</v>
      </c>
      <c r="G40" t="s">
        <v>35</v>
      </c>
      <c r="H40" t="s">
        <v>555</v>
      </c>
      <c r="I40" t="s">
        <v>514</v>
      </c>
      <c r="J40" s="3">
        <v>44942</v>
      </c>
      <c r="K40" s="21">
        <v>10775</v>
      </c>
      <c r="M40" t="s">
        <v>21</v>
      </c>
      <c r="N40" t="s">
        <v>47</v>
      </c>
      <c r="O40" t="s">
        <v>18</v>
      </c>
      <c r="Q40">
        <v>1</v>
      </c>
    </row>
    <row r="41" spans="1:17" hidden="1" x14ac:dyDescent="0.25">
      <c r="A41" s="24">
        <v>40</v>
      </c>
      <c r="B41">
        <v>2023</v>
      </c>
      <c r="C41" s="4" t="s">
        <v>599</v>
      </c>
      <c r="D41" s="18">
        <v>50983</v>
      </c>
      <c r="E41" t="s">
        <v>82</v>
      </c>
      <c r="F41" t="s">
        <v>83</v>
      </c>
      <c r="G41" t="s">
        <v>35</v>
      </c>
      <c r="H41" t="s">
        <v>555</v>
      </c>
      <c r="I41" t="s">
        <v>84</v>
      </c>
      <c r="J41" s="3">
        <v>44903</v>
      </c>
      <c r="K41" s="21">
        <v>14000</v>
      </c>
      <c r="M41" t="s">
        <v>78</v>
      </c>
      <c r="N41" t="s">
        <v>17</v>
      </c>
      <c r="O41" t="s">
        <v>18</v>
      </c>
      <c r="Q41">
        <v>1</v>
      </c>
    </row>
    <row r="42" spans="1:17" hidden="1" x14ac:dyDescent="0.25">
      <c r="A42">
        <v>41</v>
      </c>
      <c r="B42">
        <v>2023</v>
      </c>
      <c r="C42" s="4" t="s">
        <v>599</v>
      </c>
      <c r="D42" s="18">
        <v>50982</v>
      </c>
      <c r="E42" t="s">
        <v>85</v>
      </c>
      <c r="F42" t="s">
        <v>86</v>
      </c>
      <c r="G42" t="s">
        <v>35</v>
      </c>
      <c r="H42" t="s">
        <v>555</v>
      </c>
      <c r="I42" t="s">
        <v>84</v>
      </c>
      <c r="J42" s="3">
        <v>44907</v>
      </c>
      <c r="K42" s="21">
        <v>8500</v>
      </c>
      <c r="M42" t="s">
        <v>78</v>
      </c>
      <c r="N42" t="s">
        <v>47</v>
      </c>
      <c r="O42" t="s">
        <v>18</v>
      </c>
      <c r="Q42">
        <v>1</v>
      </c>
    </row>
    <row r="43" spans="1:17" hidden="1" x14ac:dyDescent="0.25">
      <c r="A43">
        <v>42</v>
      </c>
      <c r="B43">
        <v>2023</v>
      </c>
      <c r="C43" s="4" t="s">
        <v>599</v>
      </c>
      <c r="D43" s="18">
        <v>51291</v>
      </c>
      <c r="E43" t="s">
        <v>87</v>
      </c>
      <c r="F43" t="s">
        <v>509</v>
      </c>
      <c r="G43" t="s">
        <v>505</v>
      </c>
      <c r="H43" t="s">
        <v>55</v>
      </c>
      <c r="I43" t="s">
        <v>501</v>
      </c>
      <c r="J43" s="3">
        <v>44942</v>
      </c>
      <c r="K43" s="21">
        <v>170000</v>
      </c>
      <c r="M43" t="s">
        <v>30</v>
      </c>
      <c r="N43" t="s">
        <v>26</v>
      </c>
      <c r="O43" t="s">
        <v>18</v>
      </c>
      <c r="Q43">
        <v>1</v>
      </c>
    </row>
    <row r="44" spans="1:17" hidden="1" x14ac:dyDescent="0.25">
      <c r="A44">
        <v>43</v>
      </c>
      <c r="B44">
        <v>2023</v>
      </c>
      <c r="C44" s="4" t="s">
        <v>600</v>
      </c>
      <c r="D44" s="18">
        <v>51514</v>
      </c>
      <c r="E44" t="s">
        <v>88</v>
      </c>
      <c r="F44" t="s">
        <v>89</v>
      </c>
      <c r="G44" s="2" t="s">
        <v>35</v>
      </c>
      <c r="H44" t="s">
        <v>90</v>
      </c>
      <c r="I44" t="s">
        <v>514</v>
      </c>
      <c r="J44" s="3">
        <v>44941</v>
      </c>
      <c r="K44" s="21">
        <v>9000</v>
      </c>
      <c r="M44" t="s">
        <v>30</v>
      </c>
      <c r="N44" t="s">
        <v>22</v>
      </c>
      <c r="O44" t="s">
        <v>18</v>
      </c>
      <c r="Q44">
        <v>1</v>
      </c>
    </row>
    <row r="45" spans="1:17" hidden="1" x14ac:dyDescent="0.25">
      <c r="A45">
        <v>44</v>
      </c>
      <c r="B45">
        <v>2023</v>
      </c>
      <c r="C45" s="4" t="s">
        <v>600</v>
      </c>
      <c r="D45" s="18">
        <v>51368</v>
      </c>
      <c r="E45" t="s">
        <v>91</v>
      </c>
      <c r="F45" t="s">
        <v>92</v>
      </c>
      <c r="G45" s="2" t="s">
        <v>35</v>
      </c>
      <c r="H45" t="s">
        <v>555</v>
      </c>
      <c r="I45" t="s">
        <v>514</v>
      </c>
      <c r="J45" s="3">
        <v>44958</v>
      </c>
      <c r="K45" s="21">
        <v>14000</v>
      </c>
      <c r="M45" t="s">
        <v>93</v>
      </c>
      <c r="N45" t="s">
        <v>17</v>
      </c>
      <c r="O45" t="s">
        <v>18</v>
      </c>
      <c r="Q45">
        <v>1</v>
      </c>
    </row>
    <row r="46" spans="1:17" s="24" customFormat="1" hidden="1" x14ac:dyDescent="0.25">
      <c r="A46" s="24">
        <v>45</v>
      </c>
      <c r="B46" s="24">
        <v>2023</v>
      </c>
      <c r="C46" s="36" t="s">
        <v>600</v>
      </c>
      <c r="D46" s="26">
        <v>51577</v>
      </c>
      <c r="E46" s="24" t="s">
        <v>27</v>
      </c>
      <c r="F46" s="24" t="s">
        <v>122</v>
      </c>
      <c r="G46" s="28" t="s">
        <v>35</v>
      </c>
      <c r="H46" s="24" t="s">
        <v>57</v>
      </c>
      <c r="I46" s="24" t="s">
        <v>530</v>
      </c>
      <c r="J46" s="25">
        <v>44964</v>
      </c>
      <c r="K46" s="27">
        <v>200000</v>
      </c>
      <c r="L46" s="27"/>
      <c r="M46" s="24" t="s">
        <v>53</v>
      </c>
      <c r="N46" s="24" t="s">
        <v>47</v>
      </c>
      <c r="O46" s="24" t="s">
        <v>18</v>
      </c>
      <c r="Q46" s="24">
        <v>1</v>
      </c>
    </row>
    <row r="47" spans="1:17" hidden="1" x14ac:dyDescent="0.25">
      <c r="A47">
        <v>46</v>
      </c>
      <c r="B47">
        <v>2023</v>
      </c>
      <c r="C47" s="4" t="s">
        <v>600</v>
      </c>
      <c r="D47" s="18">
        <v>51910</v>
      </c>
      <c r="E47" t="s">
        <v>628</v>
      </c>
      <c r="F47" t="s">
        <v>40</v>
      </c>
      <c r="G47" t="s">
        <v>41</v>
      </c>
      <c r="H47" t="s">
        <v>555</v>
      </c>
      <c r="I47" t="s">
        <v>508</v>
      </c>
      <c r="J47" s="3">
        <v>44972</v>
      </c>
      <c r="K47" s="21">
        <v>27000</v>
      </c>
      <c r="M47" t="s">
        <v>21</v>
      </c>
      <c r="N47" t="s">
        <v>26</v>
      </c>
      <c r="O47" t="s">
        <v>18</v>
      </c>
      <c r="Q47">
        <v>1</v>
      </c>
    </row>
    <row r="48" spans="1:17" hidden="1" x14ac:dyDescent="0.25">
      <c r="A48">
        <v>47</v>
      </c>
      <c r="B48">
        <v>2023</v>
      </c>
      <c r="C48" s="4" t="s">
        <v>600</v>
      </c>
      <c r="D48" s="18">
        <v>51901</v>
      </c>
      <c r="E48" t="s">
        <v>94</v>
      </c>
      <c r="F48" t="s">
        <v>40</v>
      </c>
      <c r="G48" t="s">
        <v>41</v>
      </c>
      <c r="H48" t="s">
        <v>555</v>
      </c>
      <c r="I48" t="s">
        <v>508</v>
      </c>
      <c r="J48" s="3">
        <v>44972</v>
      </c>
      <c r="K48" s="21">
        <v>27000</v>
      </c>
      <c r="M48" t="s">
        <v>21</v>
      </c>
      <c r="N48" t="s">
        <v>26</v>
      </c>
      <c r="O48" t="s">
        <v>18</v>
      </c>
      <c r="Q48">
        <v>1</v>
      </c>
    </row>
    <row r="49" spans="1:17" hidden="1" x14ac:dyDescent="0.25">
      <c r="A49">
        <v>48</v>
      </c>
      <c r="B49">
        <v>2023</v>
      </c>
      <c r="C49" s="4" t="s">
        <v>600</v>
      </c>
      <c r="D49" s="18">
        <v>51914</v>
      </c>
      <c r="E49" t="s">
        <v>95</v>
      </c>
      <c r="F49" t="s">
        <v>40</v>
      </c>
      <c r="G49" t="s">
        <v>41</v>
      </c>
      <c r="H49" t="s">
        <v>555</v>
      </c>
      <c r="I49" t="s">
        <v>508</v>
      </c>
      <c r="J49" s="3">
        <v>44972</v>
      </c>
      <c r="K49" s="21">
        <v>22000</v>
      </c>
      <c r="M49" t="s">
        <v>21</v>
      </c>
      <c r="N49" t="s">
        <v>26</v>
      </c>
      <c r="O49" t="s">
        <v>18</v>
      </c>
      <c r="Q49">
        <v>1</v>
      </c>
    </row>
    <row r="50" spans="1:17" hidden="1" x14ac:dyDescent="0.25">
      <c r="A50">
        <v>49</v>
      </c>
      <c r="B50">
        <v>2023</v>
      </c>
      <c r="C50" s="4" t="s">
        <v>600</v>
      </c>
      <c r="D50" s="18">
        <v>51905</v>
      </c>
      <c r="E50" t="s">
        <v>96</v>
      </c>
      <c r="F50" t="s">
        <v>40</v>
      </c>
      <c r="G50" t="s">
        <v>41</v>
      </c>
      <c r="H50" t="s">
        <v>555</v>
      </c>
      <c r="I50" t="s">
        <v>508</v>
      </c>
      <c r="J50" s="3">
        <v>44972</v>
      </c>
      <c r="K50" s="21">
        <v>15000</v>
      </c>
      <c r="M50" t="s">
        <v>21</v>
      </c>
      <c r="N50" t="s">
        <v>26</v>
      </c>
      <c r="O50" t="s">
        <v>18</v>
      </c>
      <c r="Q50">
        <v>1</v>
      </c>
    </row>
    <row r="51" spans="1:17" hidden="1" x14ac:dyDescent="0.25">
      <c r="A51" s="24">
        <v>50</v>
      </c>
      <c r="B51" s="24">
        <v>2023</v>
      </c>
      <c r="C51" s="36" t="s">
        <v>600</v>
      </c>
      <c r="D51" s="26">
        <v>51346</v>
      </c>
      <c r="E51" s="24" t="s">
        <v>97</v>
      </c>
      <c r="F51" s="24" t="s">
        <v>98</v>
      </c>
      <c r="G51" s="24" t="s">
        <v>99</v>
      </c>
      <c r="H51" s="24" t="s">
        <v>55</v>
      </c>
      <c r="I51" s="24" t="s">
        <v>559</v>
      </c>
      <c r="J51" s="25">
        <v>44958</v>
      </c>
      <c r="K51" s="27">
        <v>67000</v>
      </c>
      <c r="L51" s="27"/>
      <c r="M51" s="24" t="s">
        <v>100</v>
      </c>
      <c r="N51" s="24" t="s">
        <v>47</v>
      </c>
      <c r="O51" s="24" t="s">
        <v>18</v>
      </c>
      <c r="P51" s="24"/>
      <c r="Q51" s="24">
        <v>1</v>
      </c>
    </row>
    <row r="52" spans="1:17" s="6" customFormat="1" hidden="1" x14ac:dyDescent="0.25">
      <c r="A52" s="6">
        <v>51</v>
      </c>
      <c r="B52" s="6">
        <v>2023</v>
      </c>
      <c r="C52" s="35" t="s">
        <v>600</v>
      </c>
      <c r="D52" s="19">
        <v>51333</v>
      </c>
      <c r="E52" s="6" t="s">
        <v>101</v>
      </c>
      <c r="F52" s="6" t="s">
        <v>513</v>
      </c>
      <c r="G52" s="6" t="s">
        <v>99</v>
      </c>
      <c r="H52" s="6" t="s">
        <v>55</v>
      </c>
      <c r="I52" s="6" t="s">
        <v>559</v>
      </c>
      <c r="J52" s="7">
        <v>44958</v>
      </c>
      <c r="K52" s="22">
        <v>22000</v>
      </c>
      <c r="L52" s="22"/>
      <c r="M52" s="6" t="s">
        <v>30</v>
      </c>
      <c r="N52" s="6" t="s">
        <v>17</v>
      </c>
      <c r="O52" s="6" t="s">
        <v>18</v>
      </c>
      <c r="Q52" s="6">
        <v>1</v>
      </c>
    </row>
    <row r="53" spans="1:17" s="6" customFormat="1" hidden="1" x14ac:dyDescent="0.25">
      <c r="A53" s="6">
        <v>52</v>
      </c>
      <c r="B53" s="6">
        <v>2023</v>
      </c>
      <c r="C53" s="35" t="s">
        <v>600</v>
      </c>
      <c r="D53" s="19">
        <v>51338</v>
      </c>
      <c r="E53" s="6" t="s">
        <v>102</v>
      </c>
      <c r="F53" s="6" t="s">
        <v>513</v>
      </c>
      <c r="G53" s="6" t="s">
        <v>99</v>
      </c>
      <c r="H53" s="6" t="s">
        <v>15</v>
      </c>
      <c r="I53" s="6" t="s">
        <v>504</v>
      </c>
      <c r="J53" s="7">
        <v>44958</v>
      </c>
      <c r="K53" s="22">
        <v>21000</v>
      </c>
      <c r="L53" s="22"/>
      <c r="M53" s="6" t="s">
        <v>103</v>
      </c>
      <c r="N53" s="6" t="s">
        <v>17</v>
      </c>
      <c r="O53" s="6" t="s">
        <v>18</v>
      </c>
      <c r="Q53" s="6">
        <v>1</v>
      </c>
    </row>
    <row r="54" spans="1:17" s="6" customFormat="1" hidden="1" x14ac:dyDescent="0.25">
      <c r="A54" s="6">
        <v>53</v>
      </c>
      <c r="B54" s="6">
        <v>2023</v>
      </c>
      <c r="C54" s="35" t="s">
        <v>600</v>
      </c>
      <c r="D54" s="19">
        <v>51349</v>
      </c>
      <c r="E54" s="6" t="s">
        <v>104</v>
      </c>
      <c r="F54" s="6" t="s">
        <v>513</v>
      </c>
      <c r="G54" s="6" t="s">
        <v>99</v>
      </c>
      <c r="H54" s="6" t="s">
        <v>15</v>
      </c>
      <c r="I54" s="6" t="s">
        <v>504</v>
      </c>
      <c r="J54" s="7">
        <v>44958</v>
      </c>
      <c r="K54" s="22">
        <v>21000</v>
      </c>
      <c r="L54" s="22"/>
      <c r="M54" s="6" t="s">
        <v>78</v>
      </c>
      <c r="N54" s="6" t="s">
        <v>17</v>
      </c>
      <c r="O54" s="6" t="s">
        <v>18</v>
      </c>
      <c r="Q54" s="6">
        <v>1</v>
      </c>
    </row>
    <row r="55" spans="1:17" s="6" customFormat="1" hidden="1" x14ac:dyDescent="0.25">
      <c r="A55" s="6">
        <v>54</v>
      </c>
      <c r="B55" s="6">
        <v>2023</v>
      </c>
      <c r="C55" s="35" t="s">
        <v>600</v>
      </c>
      <c r="D55" s="19">
        <v>51336</v>
      </c>
      <c r="E55" s="6" t="s">
        <v>105</v>
      </c>
      <c r="F55" s="6" t="s">
        <v>513</v>
      </c>
      <c r="G55" s="6" t="s">
        <v>99</v>
      </c>
      <c r="H55" s="6" t="s">
        <v>15</v>
      </c>
      <c r="I55" s="6" t="s">
        <v>504</v>
      </c>
      <c r="J55" s="7">
        <v>44958</v>
      </c>
      <c r="K55" s="22">
        <v>22000</v>
      </c>
      <c r="L55" s="22"/>
      <c r="M55" s="6" t="s">
        <v>16</v>
      </c>
      <c r="N55" s="6" t="s">
        <v>17</v>
      </c>
      <c r="O55" s="6" t="s">
        <v>18</v>
      </c>
      <c r="Q55" s="6">
        <v>1</v>
      </c>
    </row>
    <row r="56" spans="1:17" hidden="1" x14ac:dyDescent="0.25">
      <c r="A56">
        <v>55</v>
      </c>
      <c r="B56">
        <v>2023</v>
      </c>
      <c r="C56" s="4" t="s">
        <v>600</v>
      </c>
      <c r="D56" s="18">
        <v>51344</v>
      </c>
      <c r="E56" t="s">
        <v>106</v>
      </c>
      <c r="F56" t="s">
        <v>509</v>
      </c>
      <c r="G56" t="s">
        <v>505</v>
      </c>
      <c r="H56" t="s">
        <v>555</v>
      </c>
      <c r="I56" t="s">
        <v>531</v>
      </c>
      <c r="J56" s="3">
        <v>44958</v>
      </c>
      <c r="K56" s="21">
        <v>195000</v>
      </c>
      <c r="M56" t="s">
        <v>21</v>
      </c>
      <c r="N56" t="s">
        <v>17</v>
      </c>
      <c r="O56" t="s">
        <v>18</v>
      </c>
      <c r="Q56">
        <v>1</v>
      </c>
    </row>
    <row r="57" spans="1:17" hidden="1" x14ac:dyDescent="0.25">
      <c r="A57">
        <v>56</v>
      </c>
      <c r="B57">
        <v>2023</v>
      </c>
      <c r="C57" s="4" t="s">
        <v>600</v>
      </c>
      <c r="D57" s="18">
        <v>51373</v>
      </c>
      <c r="E57" t="s">
        <v>107</v>
      </c>
      <c r="F57" t="s">
        <v>515</v>
      </c>
      <c r="G57" t="s">
        <v>505</v>
      </c>
      <c r="H57" t="s">
        <v>555</v>
      </c>
      <c r="I57" t="s">
        <v>531</v>
      </c>
      <c r="J57" s="3">
        <v>44958</v>
      </c>
      <c r="K57" s="21">
        <v>195000</v>
      </c>
      <c r="M57" t="s">
        <v>21</v>
      </c>
      <c r="N57" t="s">
        <v>47</v>
      </c>
      <c r="O57" t="s">
        <v>18</v>
      </c>
      <c r="Q57">
        <v>1</v>
      </c>
    </row>
    <row r="58" spans="1:17" hidden="1" x14ac:dyDescent="0.25">
      <c r="A58">
        <v>57</v>
      </c>
      <c r="B58">
        <v>2023</v>
      </c>
      <c r="C58" s="4" t="s">
        <v>600</v>
      </c>
      <c r="D58" s="18">
        <v>51909</v>
      </c>
      <c r="E58" t="s">
        <v>108</v>
      </c>
      <c r="F58" t="s">
        <v>515</v>
      </c>
      <c r="G58" t="s">
        <v>505</v>
      </c>
      <c r="H58" t="s">
        <v>555</v>
      </c>
      <c r="I58" t="s">
        <v>531</v>
      </c>
      <c r="J58" s="3">
        <v>44972</v>
      </c>
      <c r="K58" s="21">
        <v>200000</v>
      </c>
      <c r="M58" t="s">
        <v>16</v>
      </c>
      <c r="N58" t="s">
        <v>47</v>
      </c>
      <c r="O58" t="s">
        <v>18</v>
      </c>
      <c r="Q58">
        <v>1</v>
      </c>
    </row>
    <row r="59" spans="1:17" x14ac:dyDescent="0.25">
      <c r="A59">
        <v>58</v>
      </c>
      <c r="B59">
        <v>2023</v>
      </c>
      <c r="C59" s="4" t="s">
        <v>600</v>
      </c>
      <c r="D59" s="18">
        <v>51372</v>
      </c>
      <c r="E59" t="s">
        <v>109</v>
      </c>
      <c r="F59" t="s">
        <v>45</v>
      </c>
      <c r="G59" t="s">
        <v>541</v>
      </c>
      <c r="H59" t="s">
        <v>555</v>
      </c>
      <c r="I59" t="s">
        <v>544</v>
      </c>
      <c r="J59" s="3">
        <v>44958</v>
      </c>
      <c r="K59" s="21">
        <v>20000</v>
      </c>
      <c r="M59" t="s">
        <v>21</v>
      </c>
      <c r="N59" t="s">
        <v>17</v>
      </c>
      <c r="O59" t="s">
        <v>18</v>
      </c>
      <c r="Q59">
        <v>1</v>
      </c>
    </row>
    <row r="60" spans="1:17" x14ac:dyDescent="0.25">
      <c r="A60">
        <v>59</v>
      </c>
      <c r="B60">
        <v>2023</v>
      </c>
      <c r="C60" s="4" t="s">
        <v>600</v>
      </c>
      <c r="D60" s="18">
        <v>51916</v>
      </c>
      <c r="E60" t="s">
        <v>110</v>
      </c>
      <c r="F60" t="s">
        <v>45</v>
      </c>
      <c r="G60" t="s">
        <v>541</v>
      </c>
      <c r="H60" t="s">
        <v>555</v>
      </c>
      <c r="I60" t="s">
        <v>544</v>
      </c>
      <c r="J60" s="3">
        <v>44972</v>
      </c>
      <c r="K60" s="21">
        <v>24000</v>
      </c>
      <c r="M60" t="s">
        <v>30</v>
      </c>
      <c r="N60" t="s">
        <v>47</v>
      </c>
      <c r="O60" t="s">
        <v>18</v>
      </c>
      <c r="Q60">
        <v>1</v>
      </c>
    </row>
    <row r="61" spans="1:17" x14ac:dyDescent="0.25">
      <c r="A61" s="24">
        <v>60</v>
      </c>
      <c r="B61">
        <v>2023</v>
      </c>
      <c r="C61" s="4" t="s">
        <v>600</v>
      </c>
      <c r="D61" s="18">
        <v>51906</v>
      </c>
      <c r="E61" t="s">
        <v>111</v>
      </c>
      <c r="F61" t="s">
        <v>45</v>
      </c>
      <c r="G61" t="s">
        <v>541</v>
      </c>
      <c r="H61" t="s">
        <v>555</v>
      </c>
      <c r="I61" t="s">
        <v>544</v>
      </c>
      <c r="J61" s="3">
        <v>44972</v>
      </c>
      <c r="K61" s="21">
        <v>28000</v>
      </c>
      <c r="M61" t="s">
        <v>30</v>
      </c>
      <c r="N61" t="s">
        <v>17</v>
      </c>
      <c r="O61" t="s">
        <v>18</v>
      </c>
      <c r="Q61">
        <v>1</v>
      </c>
    </row>
    <row r="62" spans="1:17" hidden="1" x14ac:dyDescent="0.25">
      <c r="A62">
        <v>61</v>
      </c>
      <c r="B62">
        <v>2023</v>
      </c>
      <c r="C62" s="4" t="s">
        <v>600</v>
      </c>
      <c r="D62" s="18">
        <v>51770</v>
      </c>
      <c r="E62" t="s">
        <v>629</v>
      </c>
      <c r="F62" t="s">
        <v>520</v>
      </c>
      <c r="G62" t="s">
        <v>71</v>
      </c>
      <c r="H62" t="s">
        <v>55</v>
      </c>
      <c r="I62" t="s">
        <v>499</v>
      </c>
      <c r="J62" s="3">
        <v>44966</v>
      </c>
      <c r="K62" s="21">
        <v>67000</v>
      </c>
      <c r="M62" t="s">
        <v>30</v>
      </c>
      <c r="N62" t="s">
        <v>47</v>
      </c>
      <c r="O62" t="s">
        <v>18</v>
      </c>
      <c r="Q62">
        <v>1</v>
      </c>
    </row>
    <row r="63" spans="1:17" hidden="1" x14ac:dyDescent="0.25">
      <c r="A63">
        <v>62</v>
      </c>
      <c r="B63">
        <v>2023</v>
      </c>
      <c r="C63" s="4" t="s">
        <v>600</v>
      </c>
      <c r="D63" s="18">
        <v>51307</v>
      </c>
      <c r="E63" t="s">
        <v>112</v>
      </c>
      <c r="F63" t="s">
        <v>70</v>
      </c>
      <c r="G63" t="s">
        <v>71</v>
      </c>
      <c r="H63" t="s">
        <v>555</v>
      </c>
      <c r="I63" t="s">
        <v>510</v>
      </c>
      <c r="J63" s="3">
        <v>44951</v>
      </c>
      <c r="K63" s="21">
        <v>70000</v>
      </c>
      <c r="M63" t="s">
        <v>38</v>
      </c>
      <c r="N63" t="s">
        <v>47</v>
      </c>
      <c r="O63" t="s">
        <v>18</v>
      </c>
      <c r="Q63">
        <v>1</v>
      </c>
    </row>
    <row r="64" spans="1:17" hidden="1" x14ac:dyDescent="0.25">
      <c r="A64">
        <v>63</v>
      </c>
      <c r="B64">
        <v>2023</v>
      </c>
      <c r="C64" s="4" t="s">
        <v>600</v>
      </c>
      <c r="D64" s="18">
        <v>51626</v>
      </c>
      <c r="E64" t="s">
        <v>113</v>
      </c>
      <c r="F64" t="s">
        <v>146</v>
      </c>
      <c r="G64" t="s">
        <v>71</v>
      </c>
      <c r="H64" t="s">
        <v>55</v>
      </c>
      <c r="I64" t="s">
        <v>516</v>
      </c>
      <c r="J64" s="3">
        <v>44964</v>
      </c>
      <c r="K64" s="21">
        <v>20000</v>
      </c>
      <c r="M64" t="s">
        <v>30</v>
      </c>
      <c r="N64" t="s">
        <v>47</v>
      </c>
      <c r="O64" t="s">
        <v>20</v>
      </c>
      <c r="Q64">
        <v>1</v>
      </c>
    </row>
    <row r="65" spans="1:17" hidden="1" x14ac:dyDescent="0.25">
      <c r="A65">
        <v>64</v>
      </c>
      <c r="B65">
        <v>2023</v>
      </c>
      <c r="C65" s="4" t="s">
        <v>600</v>
      </c>
      <c r="D65" s="18">
        <v>51410</v>
      </c>
      <c r="E65" t="s">
        <v>114</v>
      </c>
      <c r="F65" t="s">
        <v>146</v>
      </c>
      <c r="G65" t="s">
        <v>71</v>
      </c>
      <c r="H65" t="s">
        <v>55</v>
      </c>
      <c r="I65" t="s">
        <v>516</v>
      </c>
      <c r="J65" s="3">
        <v>44958</v>
      </c>
      <c r="K65" s="21">
        <v>20000</v>
      </c>
      <c r="M65" t="s">
        <v>30</v>
      </c>
      <c r="N65" t="s">
        <v>47</v>
      </c>
      <c r="O65" t="s">
        <v>20</v>
      </c>
      <c r="Q65">
        <v>1</v>
      </c>
    </row>
    <row r="66" spans="1:17" hidden="1" x14ac:dyDescent="0.25">
      <c r="A66">
        <v>65</v>
      </c>
      <c r="B66">
        <v>2023</v>
      </c>
      <c r="C66" s="4" t="s">
        <v>600</v>
      </c>
      <c r="D66" s="18">
        <v>52058</v>
      </c>
      <c r="E66" t="s">
        <v>115</v>
      </c>
      <c r="F66" t="s">
        <v>70</v>
      </c>
      <c r="G66" t="s">
        <v>71</v>
      </c>
      <c r="H66" t="s">
        <v>55</v>
      </c>
      <c r="I66" t="s">
        <v>516</v>
      </c>
      <c r="J66" s="3">
        <v>44977</v>
      </c>
      <c r="K66" s="21">
        <v>55000</v>
      </c>
      <c r="M66" t="s">
        <v>30</v>
      </c>
      <c r="N66" t="s">
        <v>47</v>
      </c>
      <c r="O66" t="s">
        <v>20</v>
      </c>
      <c r="Q66">
        <v>1</v>
      </c>
    </row>
    <row r="67" spans="1:17" s="6" customFormat="1" x14ac:dyDescent="0.25">
      <c r="A67" s="6">
        <v>66</v>
      </c>
      <c r="B67" s="6">
        <v>2023</v>
      </c>
      <c r="C67" s="35" t="s">
        <v>600</v>
      </c>
      <c r="D67" s="19">
        <v>51920</v>
      </c>
      <c r="E67" s="6" t="s">
        <v>116</v>
      </c>
      <c r="F67" s="6" t="s">
        <v>45</v>
      </c>
      <c r="G67" s="6" t="s">
        <v>506</v>
      </c>
      <c r="H67" s="6" t="s">
        <v>555</v>
      </c>
      <c r="I67" s="6" t="s">
        <v>523</v>
      </c>
      <c r="J67" s="7">
        <v>44972</v>
      </c>
      <c r="K67" s="22">
        <v>32000</v>
      </c>
      <c r="L67" s="22"/>
      <c r="M67" s="6" t="s">
        <v>93</v>
      </c>
      <c r="N67" s="6" t="s">
        <v>47</v>
      </c>
      <c r="O67" s="6" t="s">
        <v>18</v>
      </c>
      <c r="Q67" s="6">
        <v>1</v>
      </c>
    </row>
    <row r="68" spans="1:17" s="6" customFormat="1" x14ac:dyDescent="0.25">
      <c r="A68" s="6">
        <v>67</v>
      </c>
      <c r="B68" s="6">
        <v>2023</v>
      </c>
      <c r="C68" s="35" t="s">
        <v>600</v>
      </c>
      <c r="D68" s="19">
        <v>51335</v>
      </c>
      <c r="E68" s="6" t="s">
        <v>630</v>
      </c>
      <c r="F68" s="6" t="s">
        <v>45</v>
      </c>
      <c r="G68" s="6" t="s">
        <v>506</v>
      </c>
      <c r="H68" s="6" t="s">
        <v>555</v>
      </c>
      <c r="I68" s="6" t="s">
        <v>554</v>
      </c>
      <c r="J68" s="7">
        <v>44958</v>
      </c>
      <c r="K68" s="22">
        <v>35000</v>
      </c>
      <c r="L68" s="22"/>
      <c r="M68" s="6" t="s">
        <v>21</v>
      </c>
      <c r="N68" s="6" t="s">
        <v>47</v>
      </c>
      <c r="O68" s="6" t="s">
        <v>18</v>
      </c>
      <c r="Q68" s="6">
        <v>1</v>
      </c>
    </row>
    <row r="69" spans="1:17" s="6" customFormat="1" x14ac:dyDescent="0.25">
      <c r="A69" s="6">
        <v>68</v>
      </c>
      <c r="B69" s="6">
        <v>2023</v>
      </c>
      <c r="C69" s="35" t="s">
        <v>600</v>
      </c>
      <c r="D69" s="19">
        <v>51371</v>
      </c>
      <c r="E69" s="6" t="s">
        <v>631</v>
      </c>
      <c r="F69" s="6" t="s">
        <v>45</v>
      </c>
      <c r="G69" s="6" t="s">
        <v>506</v>
      </c>
      <c r="H69" s="6" t="s">
        <v>555</v>
      </c>
      <c r="I69" s="6" t="s">
        <v>554</v>
      </c>
      <c r="J69" s="7">
        <v>44958</v>
      </c>
      <c r="K69" s="22">
        <v>30000</v>
      </c>
      <c r="L69" s="22"/>
      <c r="M69" s="6" t="s">
        <v>78</v>
      </c>
      <c r="N69" s="6" t="s">
        <v>47</v>
      </c>
      <c r="O69" s="6" t="s">
        <v>18</v>
      </c>
      <c r="Q69" s="6">
        <v>1</v>
      </c>
    </row>
    <row r="70" spans="1:17" s="6" customFormat="1" x14ac:dyDescent="0.25">
      <c r="A70" s="6">
        <v>69</v>
      </c>
      <c r="B70" s="6">
        <v>2023</v>
      </c>
      <c r="C70" s="35" t="s">
        <v>600</v>
      </c>
      <c r="D70" s="19">
        <v>51350</v>
      </c>
      <c r="E70" s="6" t="s">
        <v>117</v>
      </c>
      <c r="F70" s="6" t="s">
        <v>45</v>
      </c>
      <c r="G70" s="6" t="s">
        <v>506</v>
      </c>
      <c r="H70" s="6" t="s">
        <v>555</v>
      </c>
      <c r="I70" s="6" t="s">
        <v>517</v>
      </c>
      <c r="J70" s="7">
        <v>44958</v>
      </c>
      <c r="K70" s="22">
        <v>25000</v>
      </c>
      <c r="L70" s="22"/>
      <c r="M70" s="6" t="s">
        <v>30</v>
      </c>
      <c r="N70" s="6" t="s">
        <v>17</v>
      </c>
      <c r="O70" s="6" t="s">
        <v>18</v>
      </c>
      <c r="Q70" s="6">
        <v>1</v>
      </c>
    </row>
    <row r="71" spans="1:17" s="24" customFormat="1" hidden="1" x14ac:dyDescent="0.25">
      <c r="A71" s="24">
        <v>70</v>
      </c>
      <c r="B71">
        <v>2023</v>
      </c>
      <c r="C71" s="4" t="s">
        <v>600</v>
      </c>
      <c r="D71" s="26">
        <v>51501</v>
      </c>
      <c r="E71" s="24" t="s">
        <v>118</v>
      </c>
      <c r="F71" s="24" t="s">
        <v>122</v>
      </c>
      <c r="G71" s="24" t="s">
        <v>425</v>
      </c>
      <c r="H71" s="24" t="s">
        <v>15</v>
      </c>
      <c r="I71" s="24" t="s">
        <v>20</v>
      </c>
      <c r="J71" s="25">
        <v>44962</v>
      </c>
      <c r="K71" s="27"/>
      <c r="L71" s="27">
        <v>3000</v>
      </c>
      <c r="M71" s="24" t="s">
        <v>16</v>
      </c>
      <c r="N71" s="24" t="s">
        <v>22</v>
      </c>
      <c r="O71" s="24" t="s">
        <v>18</v>
      </c>
      <c r="Q71" s="24">
        <v>1</v>
      </c>
    </row>
    <row r="72" spans="1:17" x14ac:dyDescent="0.25">
      <c r="A72">
        <v>71</v>
      </c>
      <c r="B72">
        <v>2023</v>
      </c>
      <c r="C72" s="4" t="s">
        <v>600</v>
      </c>
      <c r="D72" s="18">
        <v>51375</v>
      </c>
      <c r="E72" t="s">
        <v>714</v>
      </c>
      <c r="F72" t="s">
        <v>45</v>
      </c>
      <c r="G72" t="s">
        <v>76</v>
      </c>
      <c r="H72" t="s">
        <v>555</v>
      </c>
      <c r="I72" t="s">
        <v>715</v>
      </c>
      <c r="J72" s="3">
        <v>44958</v>
      </c>
      <c r="K72" s="21">
        <v>25000</v>
      </c>
      <c r="M72" t="s">
        <v>58</v>
      </c>
      <c r="N72" t="s">
        <v>17</v>
      </c>
      <c r="O72" t="s">
        <v>18</v>
      </c>
      <c r="Q72">
        <v>1</v>
      </c>
    </row>
    <row r="73" spans="1:17" hidden="1" x14ac:dyDescent="0.25">
      <c r="A73">
        <v>72</v>
      </c>
      <c r="B73">
        <v>2023</v>
      </c>
      <c r="C73" s="4" t="s">
        <v>600</v>
      </c>
      <c r="D73" s="18">
        <v>51334</v>
      </c>
      <c r="E73" t="s">
        <v>119</v>
      </c>
      <c r="F73" t="s">
        <v>654</v>
      </c>
      <c r="G73" t="s">
        <v>35</v>
      </c>
      <c r="H73" t="s">
        <v>555</v>
      </c>
      <c r="I73" t="s">
        <v>514</v>
      </c>
      <c r="J73" s="3">
        <v>44958</v>
      </c>
      <c r="K73" s="21">
        <v>10775</v>
      </c>
      <c r="M73" t="s">
        <v>30</v>
      </c>
      <c r="N73" t="s">
        <v>47</v>
      </c>
      <c r="O73" t="s">
        <v>18</v>
      </c>
      <c r="Q73">
        <v>1</v>
      </c>
    </row>
    <row r="74" spans="1:17" x14ac:dyDescent="0.25">
      <c r="A74">
        <v>73</v>
      </c>
      <c r="B74">
        <v>2023</v>
      </c>
      <c r="C74" s="4" t="s">
        <v>600</v>
      </c>
      <c r="D74" s="18">
        <v>51918</v>
      </c>
      <c r="E74" t="s">
        <v>120</v>
      </c>
      <c r="F74" t="s">
        <v>45</v>
      </c>
      <c r="G74" t="s">
        <v>35</v>
      </c>
      <c r="H74" t="s">
        <v>555</v>
      </c>
      <c r="I74" t="s">
        <v>514</v>
      </c>
      <c r="J74" s="3">
        <v>44972</v>
      </c>
      <c r="K74" s="21">
        <v>25000</v>
      </c>
      <c r="M74" t="s">
        <v>21</v>
      </c>
      <c r="N74" t="s">
        <v>47</v>
      </c>
      <c r="O74" t="s">
        <v>18</v>
      </c>
      <c r="Q74">
        <v>1</v>
      </c>
    </row>
    <row r="75" spans="1:17" hidden="1" x14ac:dyDescent="0.25">
      <c r="A75">
        <v>74</v>
      </c>
      <c r="B75">
        <v>2023</v>
      </c>
      <c r="C75" s="4" t="s">
        <v>600</v>
      </c>
      <c r="D75" s="18">
        <v>51903</v>
      </c>
      <c r="E75" t="s">
        <v>632</v>
      </c>
      <c r="F75" t="s">
        <v>654</v>
      </c>
      <c r="G75" t="s">
        <v>35</v>
      </c>
      <c r="H75" t="s">
        <v>555</v>
      </c>
      <c r="I75" t="s">
        <v>514</v>
      </c>
      <c r="J75" s="3">
        <v>44972</v>
      </c>
      <c r="K75" s="21">
        <v>10775</v>
      </c>
      <c r="M75" t="s">
        <v>21</v>
      </c>
      <c r="N75" t="s">
        <v>17</v>
      </c>
      <c r="O75" t="s">
        <v>18</v>
      </c>
      <c r="Q75">
        <v>1</v>
      </c>
    </row>
    <row r="76" spans="1:17" s="6" customFormat="1" hidden="1" x14ac:dyDescent="0.25">
      <c r="A76" s="6">
        <v>75</v>
      </c>
      <c r="B76" s="6">
        <v>2023</v>
      </c>
      <c r="C76" s="35" t="s">
        <v>600</v>
      </c>
      <c r="D76" s="19">
        <v>51913</v>
      </c>
      <c r="E76" s="6" t="s">
        <v>121</v>
      </c>
      <c r="F76" s="6" t="s">
        <v>122</v>
      </c>
      <c r="G76" s="6" t="s">
        <v>656</v>
      </c>
      <c r="H76" s="6" t="s">
        <v>123</v>
      </c>
      <c r="I76" s="6" t="s">
        <v>124</v>
      </c>
      <c r="J76" s="7">
        <v>44972</v>
      </c>
      <c r="K76" s="22">
        <v>250000</v>
      </c>
      <c r="L76" s="22"/>
      <c r="M76" s="6" t="s">
        <v>68</v>
      </c>
      <c r="N76" s="6" t="s">
        <v>22</v>
      </c>
      <c r="O76" s="6" t="s">
        <v>18</v>
      </c>
      <c r="Q76" s="6">
        <v>1</v>
      </c>
    </row>
    <row r="77" spans="1:17" s="6" customFormat="1" hidden="1" x14ac:dyDescent="0.25">
      <c r="A77" s="6">
        <v>76</v>
      </c>
      <c r="B77" s="6">
        <v>2023</v>
      </c>
      <c r="C77" s="35" t="s">
        <v>601</v>
      </c>
      <c r="D77" s="19">
        <v>52101</v>
      </c>
      <c r="E77" s="6" t="s">
        <v>125</v>
      </c>
      <c r="F77" s="6" t="s">
        <v>574</v>
      </c>
      <c r="G77" s="6" t="s">
        <v>505</v>
      </c>
      <c r="H77" s="6" t="s">
        <v>555</v>
      </c>
      <c r="I77" s="6" t="s">
        <v>126</v>
      </c>
      <c r="J77" s="7">
        <v>44986</v>
      </c>
      <c r="K77" s="22">
        <v>30000</v>
      </c>
      <c r="L77" s="22"/>
      <c r="M77" s="6" t="s">
        <v>16</v>
      </c>
      <c r="N77" s="6" t="s">
        <v>26</v>
      </c>
      <c r="O77" s="6" t="s">
        <v>18</v>
      </c>
      <c r="Q77" s="6">
        <v>1</v>
      </c>
    </row>
    <row r="78" spans="1:17" hidden="1" x14ac:dyDescent="0.25">
      <c r="A78">
        <v>77</v>
      </c>
      <c r="B78">
        <v>2023</v>
      </c>
      <c r="C78" s="4" t="s">
        <v>601</v>
      </c>
      <c r="D78" s="18">
        <v>52100</v>
      </c>
      <c r="E78" t="s">
        <v>127</v>
      </c>
      <c r="F78" t="s">
        <v>128</v>
      </c>
      <c r="G78" t="s">
        <v>505</v>
      </c>
      <c r="H78" t="s">
        <v>555</v>
      </c>
      <c r="I78" t="s">
        <v>511</v>
      </c>
      <c r="J78" s="3">
        <v>44986</v>
      </c>
      <c r="K78" s="21">
        <v>105000</v>
      </c>
      <c r="M78" t="s">
        <v>53</v>
      </c>
      <c r="N78" t="s">
        <v>26</v>
      </c>
      <c r="O78" t="s">
        <v>18</v>
      </c>
      <c r="Q78">
        <v>1</v>
      </c>
    </row>
    <row r="79" spans="1:17" hidden="1" x14ac:dyDescent="0.25">
      <c r="A79">
        <v>78</v>
      </c>
      <c r="B79">
        <v>2023</v>
      </c>
      <c r="C79" s="4" t="s">
        <v>601</v>
      </c>
      <c r="D79" s="18">
        <v>52813</v>
      </c>
      <c r="E79" t="s">
        <v>129</v>
      </c>
      <c r="F79" t="s">
        <v>150</v>
      </c>
      <c r="G79" t="s">
        <v>505</v>
      </c>
      <c r="H79" t="s">
        <v>555</v>
      </c>
      <c r="I79" t="s">
        <v>511</v>
      </c>
      <c r="J79" s="3">
        <v>45000</v>
      </c>
      <c r="K79" s="21">
        <v>80000</v>
      </c>
      <c r="M79" t="s">
        <v>53</v>
      </c>
      <c r="N79" t="s">
        <v>26</v>
      </c>
      <c r="O79" t="s">
        <v>18</v>
      </c>
      <c r="Q79">
        <v>1</v>
      </c>
    </row>
    <row r="80" spans="1:17" x14ac:dyDescent="0.25">
      <c r="A80">
        <v>79</v>
      </c>
      <c r="B80">
        <v>2023</v>
      </c>
      <c r="C80" s="4" t="s">
        <v>601</v>
      </c>
      <c r="D80" s="18">
        <v>52814</v>
      </c>
      <c r="E80" t="s">
        <v>130</v>
      </c>
      <c r="F80" t="s">
        <v>45</v>
      </c>
      <c r="G80" t="s">
        <v>505</v>
      </c>
      <c r="H80" t="s">
        <v>555</v>
      </c>
      <c r="I80" t="s">
        <v>501</v>
      </c>
      <c r="J80" s="3">
        <v>45000</v>
      </c>
      <c r="K80" s="21">
        <v>24000</v>
      </c>
      <c r="M80" t="s">
        <v>21</v>
      </c>
      <c r="N80" t="s">
        <v>26</v>
      </c>
      <c r="O80" t="s">
        <v>18</v>
      </c>
      <c r="Q80">
        <v>1</v>
      </c>
    </row>
    <row r="81" spans="1:17" s="24" customFormat="1" hidden="1" x14ac:dyDescent="0.25">
      <c r="A81" s="24">
        <v>80</v>
      </c>
      <c r="B81">
        <v>2023</v>
      </c>
      <c r="C81" s="4" t="s">
        <v>601</v>
      </c>
      <c r="D81" s="26">
        <v>52109</v>
      </c>
      <c r="E81" s="24" t="s">
        <v>131</v>
      </c>
      <c r="F81" s="24" t="s">
        <v>150</v>
      </c>
      <c r="G81" s="24" t="s">
        <v>541</v>
      </c>
      <c r="H81" s="24" t="s">
        <v>60</v>
      </c>
      <c r="I81" s="24" t="s">
        <v>544</v>
      </c>
      <c r="J81" s="25">
        <v>44986</v>
      </c>
      <c r="K81" s="27">
        <v>60000</v>
      </c>
      <c r="L81" s="27"/>
      <c r="M81" s="24" t="s">
        <v>21</v>
      </c>
      <c r="N81" s="24" t="s">
        <v>17</v>
      </c>
      <c r="O81" s="24" t="s">
        <v>18</v>
      </c>
      <c r="Q81" s="24">
        <v>1</v>
      </c>
    </row>
    <row r="82" spans="1:17" hidden="1" x14ac:dyDescent="0.25">
      <c r="A82">
        <v>81</v>
      </c>
      <c r="B82">
        <v>2023</v>
      </c>
      <c r="C82" s="4" t="s">
        <v>601</v>
      </c>
      <c r="D82" s="18">
        <v>52097</v>
      </c>
      <c r="E82" t="s">
        <v>132</v>
      </c>
      <c r="F82" t="s">
        <v>128</v>
      </c>
      <c r="G82" t="s">
        <v>541</v>
      </c>
      <c r="H82" t="s">
        <v>133</v>
      </c>
      <c r="I82" t="s">
        <v>558</v>
      </c>
      <c r="J82" s="3">
        <v>44986</v>
      </c>
      <c r="K82" s="21">
        <v>65000</v>
      </c>
      <c r="M82" t="s">
        <v>566</v>
      </c>
      <c r="N82" t="s">
        <v>47</v>
      </c>
      <c r="O82" t="s">
        <v>18</v>
      </c>
      <c r="Q82">
        <v>1</v>
      </c>
    </row>
    <row r="83" spans="1:17" hidden="1" x14ac:dyDescent="0.25">
      <c r="A83">
        <v>82</v>
      </c>
      <c r="B83">
        <v>2023</v>
      </c>
      <c r="C83" s="4" t="s">
        <v>601</v>
      </c>
      <c r="D83" s="18">
        <v>52405</v>
      </c>
      <c r="E83" t="s">
        <v>134</v>
      </c>
      <c r="F83" t="s">
        <v>520</v>
      </c>
      <c r="G83" t="s">
        <v>71</v>
      </c>
      <c r="H83" t="s">
        <v>55</v>
      </c>
      <c r="I83" t="s">
        <v>516</v>
      </c>
      <c r="J83" s="3">
        <v>44990</v>
      </c>
      <c r="K83" s="21">
        <v>65000</v>
      </c>
      <c r="M83" t="s">
        <v>30</v>
      </c>
      <c r="N83" t="s">
        <v>47</v>
      </c>
      <c r="O83" t="s">
        <v>20</v>
      </c>
      <c r="Q83">
        <v>1</v>
      </c>
    </row>
    <row r="84" spans="1:17" hidden="1" x14ac:dyDescent="0.25">
      <c r="A84">
        <v>83</v>
      </c>
      <c r="B84">
        <v>2023</v>
      </c>
      <c r="C84" s="4" t="s">
        <v>601</v>
      </c>
      <c r="D84" s="18">
        <v>52818</v>
      </c>
      <c r="E84" t="s">
        <v>135</v>
      </c>
      <c r="F84" t="s">
        <v>146</v>
      </c>
      <c r="G84" t="s">
        <v>71</v>
      </c>
      <c r="H84" t="s">
        <v>555</v>
      </c>
      <c r="I84" t="s">
        <v>510</v>
      </c>
      <c r="J84" s="3">
        <v>45000</v>
      </c>
      <c r="K84" s="21">
        <v>20000</v>
      </c>
      <c r="M84" t="s">
        <v>30</v>
      </c>
      <c r="N84" t="s">
        <v>26</v>
      </c>
      <c r="O84" t="s">
        <v>18</v>
      </c>
      <c r="Q84">
        <v>1</v>
      </c>
    </row>
    <row r="85" spans="1:17" hidden="1" x14ac:dyDescent="0.25">
      <c r="A85">
        <v>84</v>
      </c>
      <c r="B85">
        <v>2023</v>
      </c>
      <c r="C85" s="4" t="s">
        <v>601</v>
      </c>
      <c r="D85" s="18">
        <v>52128</v>
      </c>
      <c r="E85" t="s">
        <v>136</v>
      </c>
      <c r="F85" t="s">
        <v>146</v>
      </c>
      <c r="G85" t="s">
        <v>71</v>
      </c>
      <c r="H85" t="s">
        <v>555</v>
      </c>
      <c r="I85" t="s">
        <v>512</v>
      </c>
      <c r="J85" s="3">
        <v>44986</v>
      </c>
      <c r="K85" s="21">
        <v>20000</v>
      </c>
      <c r="M85" t="s">
        <v>78</v>
      </c>
      <c r="N85" t="s">
        <v>47</v>
      </c>
      <c r="O85" t="s">
        <v>37</v>
      </c>
      <c r="Q85">
        <v>1</v>
      </c>
    </row>
    <row r="86" spans="1:17" hidden="1" x14ac:dyDescent="0.25">
      <c r="A86">
        <v>85</v>
      </c>
      <c r="B86">
        <v>2023</v>
      </c>
      <c r="C86" s="4" t="s">
        <v>601</v>
      </c>
      <c r="D86" s="18">
        <v>52102</v>
      </c>
      <c r="E86" t="s">
        <v>137</v>
      </c>
      <c r="F86" t="s">
        <v>150</v>
      </c>
      <c r="G86" t="s">
        <v>547</v>
      </c>
      <c r="H86" t="s">
        <v>555</v>
      </c>
      <c r="I86" t="s">
        <v>511</v>
      </c>
      <c r="J86" s="3">
        <v>44986</v>
      </c>
      <c r="K86" s="21">
        <v>70000</v>
      </c>
      <c r="M86" t="s">
        <v>30</v>
      </c>
      <c r="N86" t="s">
        <v>26</v>
      </c>
      <c r="O86" t="s">
        <v>18</v>
      </c>
      <c r="Q86">
        <v>1</v>
      </c>
    </row>
    <row r="87" spans="1:17" s="24" customFormat="1" hidden="1" x14ac:dyDescent="0.25">
      <c r="A87" s="24">
        <v>86</v>
      </c>
      <c r="B87">
        <v>2023</v>
      </c>
      <c r="C87" s="4" t="s">
        <v>601</v>
      </c>
      <c r="D87" s="26">
        <v>52819</v>
      </c>
      <c r="E87" s="24" t="s">
        <v>138</v>
      </c>
      <c r="F87" s="24" t="s">
        <v>122</v>
      </c>
      <c r="G87" s="24" t="s">
        <v>14</v>
      </c>
      <c r="H87" s="24" t="s">
        <v>569</v>
      </c>
      <c r="I87" s="24" t="s">
        <v>532</v>
      </c>
      <c r="J87" s="25">
        <v>45000</v>
      </c>
      <c r="K87" s="27">
        <v>250000</v>
      </c>
      <c r="L87" s="27"/>
      <c r="M87" s="24" t="s">
        <v>139</v>
      </c>
      <c r="N87" s="24" t="s">
        <v>26</v>
      </c>
      <c r="O87" s="24" t="s">
        <v>18</v>
      </c>
      <c r="Q87" s="24">
        <v>1</v>
      </c>
    </row>
    <row r="88" spans="1:17" hidden="1" x14ac:dyDescent="0.25">
      <c r="A88">
        <v>87</v>
      </c>
      <c r="B88">
        <v>2023</v>
      </c>
      <c r="C88" s="4" t="s">
        <v>601</v>
      </c>
      <c r="D88" s="18">
        <v>52087</v>
      </c>
      <c r="E88" t="s">
        <v>140</v>
      </c>
      <c r="F88" t="s">
        <v>122</v>
      </c>
      <c r="G88" t="s">
        <v>425</v>
      </c>
      <c r="H88" t="s">
        <v>55</v>
      </c>
      <c r="I88" t="s">
        <v>20</v>
      </c>
      <c r="J88" s="3">
        <v>44984</v>
      </c>
      <c r="L88" s="21">
        <v>5000</v>
      </c>
      <c r="M88" t="s">
        <v>30</v>
      </c>
      <c r="N88" t="s">
        <v>22</v>
      </c>
      <c r="O88" t="s">
        <v>18</v>
      </c>
      <c r="Q88">
        <v>1</v>
      </c>
    </row>
    <row r="89" spans="1:17" s="24" customFormat="1" hidden="1" x14ac:dyDescent="0.25">
      <c r="A89" s="24">
        <v>88</v>
      </c>
      <c r="B89">
        <v>2023</v>
      </c>
      <c r="C89" s="4" t="s">
        <v>601</v>
      </c>
      <c r="D89" s="26">
        <v>52808</v>
      </c>
      <c r="E89" s="24" t="s">
        <v>141</v>
      </c>
      <c r="F89" s="24" t="s">
        <v>657</v>
      </c>
      <c r="G89" s="24" t="s">
        <v>35</v>
      </c>
      <c r="H89" s="24" t="s">
        <v>555</v>
      </c>
      <c r="I89" s="24" t="s">
        <v>514</v>
      </c>
      <c r="J89" s="25">
        <v>45000</v>
      </c>
      <c r="K89" s="27">
        <v>20000</v>
      </c>
      <c r="L89" s="27"/>
      <c r="M89" s="24" t="s">
        <v>21</v>
      </c>
      <c r="N89" s="24" t="s">
        <v>17</v>
      </c>
      <c r="O89" s="24" t="s">
        <v>18</v>
      </c>
      <c r="Q89" s="24">
        <v>1</v>
      </c>
    </row>
    <row r="90" spans="1:17" s="6" customFormat="1" hidden="1" x14ac:dyDescent="0.25">
      <c r="A90" s="6">
        <v>89</v>
      </c>
      <c r="B90" s="6">
        <v>2023</v>
      </c>
      <c r="C90" s="35" t="s">
        <v>601</v>
      </c>
      <c r="D90" s="19">
        <v>52086</v>
      </c>
      <c r="E90" s="6" t="s">
        <v>142</v>
      </c>
      <c r="F90" s="6" t="s">
        <v>122</v>
      </c>
      <c r="G90" s="6" t="s">
        <v>14</v>
      </c>
      <c r="H90" s="6" t="s">
        <v>15</v>
      </c>
      <c r="I90" s="6" t="s">
        <v>37</v>
      </c>
      <c r="J90" s="7">
        <v>44983</v>
      </c>
      <c r="K90" s="22"/>
      <c r="L90" s="22">
        <v>4000</v>
      </c>
      <c r="M90" s="6" t="s">
        <v>16</v>
      </c>
      <c r="N90" s="6" t="s">
        <v>22</v>
      </c>
      <c r="O90" s="6" t="s">
        <v>18</v>
      </c>
      <c r="Q90" s="6">
        <v>1</v>
      </c>
    </row>
    <row r="91" spans="1:17" s="24" customFormat="1" hidden="1" x14ac:dyDescent="0.25">
      <c r="A91" s="24">
        <v>90</v>
      </c>
      <c r="B91">
        <v>2023</v>
      </c>
      <c r="C91" s="4" t="s">
        <v>601</v>
      </c>
      <c r="D91" s="26">
        <v>52068</v>
      </c>
      <c r="E91" s="24" t="s">
        <v>143</v>
      </c>
      <c r="F91" s="24" t="s">
        <v>83</v>
      </c>
      <c r="G91" s="24" t="s">
        <v>35</v>
      </c>
      <c r="H91" s="24" t="s">
        <v>555</v>
      </c>
      <c r="I91" s="24" t="s">
        <v>514</v>
      </c>
      <c r="J91" s="25">
        <v>44986</v>
      </c>
      <c r="K91" s="27">
        <v>15000</v>
      </c>
      <c r="L91" s="27"/>
      <c r="M91" s="24" t="s">
        <v>16</v>
      </c>
      <c r="N91" s="24" t="s">
        <v>17</v>
      </c>
      <c r="O91" s="24" t="s">
        <v>18</v>
      </c>
      <c r="Q91" s="24">
        <v>1</v>
      </c>
    </row>
    <row r="92" spans="1:17" hidden="1" x14ac:dyDescent="0.25">
      <c r="A92">
        <v>91</v>
      </c>
      <c r="B92">
        <v>2023</v>
      </c>
      <c r="C92" s="4" t="s">
        <v>601</v>
      </c>
      <c r="D92" s="18">
        <v>52809</v>
      </c>
      <c r="E92" t="s">
        <v>144</v>
      </c>
      <c r="F92" t="s">
        <v>83</v>
      </c>
      <c r="G92" t="s">
        <v>35</v>
      </c>
      <c r="H92" t="s">
        <v>555</v>
      </c>
      <c r="I92" t="s">
        <v>514</v>
      </c>
      <c r="J92" s="3">
        <v>45000</v>
      </c>
      <c r="K92" s="21">
        <v>18000</v>
      </c>
      <c r="M92" t="s">
        <v>21</v>
      </c>
      <c r="N92" t="s">
        <v>17</v>
      </c>
      <c r="O92" t="s">
        <v>18</v>
      </c>
      <c r="Q92">
        <v>1</v>
      </c>
    </row>
    <row r="93" spans="1:17" hidden="1" x14ac:dyDescent="0.25">
      <c r="A93">
        <v>92</v>
      </c>
      <c r="B93">
        <v>2023</v>
      </c>
      <c r="C93" s="4" t="s">
        <v>601</v>
      </c>
      <c r="D93" s="18" t="s">
        <v>581</v>
      </c>
      <c r="E93" t="s">
        <v>145</v>
      </c>
      <c r="F93" t="s">
        <v>146</v>
      </c>
      <c r="G93" t="s">
        <v>71</v>
      </c>
      <c r="H93" t="s">
        <v>55</v>
      </c>
      <c r="I93" t="s">
        <v>122</v>
      </c>
      <c r="J93" s="3">
        <v>45001</v>
      </c>
      <c r="K93" s="21">
        <v>20000</v>
      </c>
      <c r="M93" t="s">
        <v>30</v>
      </c>
      <c r="N93" t="s">
        <v>47</v>
      </c>
      <c r="O93" t="s">
        <v>20</v>
      </c>
      <c r="Q93">
        <v>1</v>
      </c>
    </row>
    <row r="94" spans="1:17" hidden="1" x14ac:dyDescent="0.25">
      <c r="A94">
        <v>93</v>
      </c>
      <c r="B94">
        <v>2023</v>
      </c>
      <c r="C94" s="4" t="s">
        <v>601</v>
      </c>
      <c r="D94" s="18" t="s">
        <v>582</v>
      </c>
      <c r="E94" t="s">
        <v>147</v>
      </c>
      <c r="F94" t="s">
        <v>148</v>
      </c>
      <c r="G94" t="s">
        <v>149</v>
      </c>
      <c r="H94" t="s">
        <v>55</v>
      </c>
      <c r="I94" t="s">
        <v>150</v>
      </c>
      <c r="J94" s="3">
        <v>45001</v>
      </c>
      <c r="K94" s="21">
        <v>55000</v>
      </c>
      <c r="M94" t="s">
        <v>30</v>
      </c>
      <c r="N94" t="s">
        <v>47</v>
      </c>
      <c r="O94" t="s">
        <v>20</v>
      </c>
      <c r="Q94">
        <v>1</v>
      </c>
    </row>
    <row r="95" spans="1:17" hidden="1" x14ac:dyDescent="0.25">
      <c r="A95">
        <v>94</v>
      </c>
      <c r="B95">
        <v>2023</v>
      </c>
      <c r="C95" s="4" t="s">
        <v>601</v>
      </c>
      <c r="D95" s="18" t="s">
        <v>582</v>
      </c>
      <c r="E95" t="s">
        <v>587</v>
      </c>
      <c r="F95" t="s">
        <v>122</v>
      </c>
      <c r="G95" t="s">
        <v>592</v>
      </c>
      <c r="H95" t="s">
        <v>60</v>
      </c>
      <c r="I95" t="s">
        <v>349</v>
      </c>
      <c r="J95" s="3">
        <v>45003</v>
      </c>
      <c r="L95" s="21">
        <v>3500</v>
      </c>
      <c r="M95" t="s">
        <v>61</v>
      </c>
      <c r="N95" t="s">
        <v>22</v>
      </c>
      <c r="Q95">
        <v>1</v>
      </c>
    </row>
    <row r="96" spans="1:17" hidden="1" x14ac:dyDescent="0.25">
      <c r="A96">
        <v>95</v>
      </c>
      <c r="B96">
        <v>2023</v>
      </c>
      <c r="C96" s="4" t="s">
        <v>601</v>
      </c>
      <c r="D96" s="18" t="s">
        <v>590</v>
      </c>
      <c r="E96" t="s">
        <v>588</v>
      </c>
      <c r="F96" t="s">
        <v>122</v>
      </c>
      <c r="G96" s="6" t="s">
        <v>506</v>
      </c>
      <c r="H96" t="s">
        <v>555</v>
      </c>
      <c r="I96" t="s">
        <v>349</v>
      </c>
      <c r="L96" s="21">
        <v>150000</v>
      </c>
      <c r="M96" t="s">
        <v>16</v>
      </c>
      <c r="N96" t="s">
        <v>47</v>
      </c>
      <c r="Q96">
        <v>1</v>
      </c>
    </row>
    <row r="97" spans="1:17" hidden="1" x14ac:dyDescent="0.25">
      <c r="A97">
        <v>96</v>
      </c>
      <c r="B97">
        <v>2023</v>
      </c>
      <c r="C97" s="4" t="s">
        <v>601</v>
      </c>
      <c r="D97" s="18" t="s">
        <v>591</v>
      </c>
      <c r="E97" t="s">
        <v>589</v>
      </c>
      <c r="F97" t="s">
        <v>122</v>
      </c>
      <c r="G97" t="s">
        <v>541</v>
      </c>
      <c r="H97" t="s">
        <v>133</v>
      </c>
      <c r="I97" t="s">
        <v>20</v>
      </c>
      <c r="L97" s="21">
        <v>200000</v>
      </c>
      <c r="M97" t="s">
        <v>593</v>
      </c>
      <c r="N97" t="s">
        <v>47</v>
      </c>
      <c r="Q97">
        <v>1</v>
      </c>
    </row>
    <row r="98" spans="1:17" hidden="1" x14ac:dyDescent="0.25">
      <c r="A98">
        <v>97</v>
      </c>
      <c r="B98">
        <v>2023</v>
      </c>
      <c r="C98" s="4" t="s">
        <v>602</v>
      </c>
      <c r="D98" s="18" t="s">
        <v>151</v>
      </c>
      <c r="E98" t="s">
        <v>152</v>
      </c>
      <c r="F98" t="s">
        <v>128</v>
      </c>
      <c r="G98" s="2" t="s">
        <v>35</v>
      </c>
      <c r="H98" t="s">
        <v>555</v>
      </c>
      <c r="I98" t="s">
        <v>20</v>
      </c>
      <c r="J98" s="3">
        <v>45017</v>
      </c>
      <c r="K98" s="21">
        <v>68000</v>
      </c>
      <c r="M98" t="s">
        <v>21</v>
      </c>
      <c r="N98" t="s">
        <v>26</v>
      </c>
      <c r="O98" t="s">
        <v>18</v>
      </c>
      <c r="Q98">
        <v>1</v>
      </c>
    </row>
    <row r="99" spans="1:17" hidden="1" x14ac:dyDescent="0.25">
      <c r="A99">
        <v>98</v>
      </c>
      <c r="B99">
        <v>2023</v>
      </c>
      <c r="C99" s="4" t="s">
        <v>602</v>
      </c>
      <c r="D99" s="18" t="s">
        <v>153</v>
      </c>
      <c r="E99" t="s">
        <v>154</v>
      </c>
      <c r="F99" t="s">
        <v>524</v>
      </c>
      <c r="G99" s="2" t="s">
        <v>35</v>
      </c>
      <c r="H99" t="s">
        <v>555</v>
      </c>
      <c r="I99" t="s">
        <v>20</v>
      </c>
      <c r="J99" s="3">
        <v>45017</v>
      </c>
      <c r="K99" s="21">
        <v>38000</v>
      </c>
      <c r="M99" t="s">
        <v>21</v>
      </c>
      <c r="N99" t="s">
        <v>26</v>
      </c>
      <c r="O99" t="s">
        <v>18</v>
      </c>
      <c r="Q99">
        <v>1</v>
      </c>
    </row>
    <row r="100" spans="1:17" s="6" customFormat="1" x14ac:dyDescent="0.25">
      <c r="A100" s="6">
        <v>99</v>
      </c>
      <c r="B100" s="6">
        <v>2023</v>
      </c>
      <c r="C100" s="35" t="s">
        <v>602</v>
      </c>
      <c r="D100" s="19" t="s">
        <v>155</v>
      </c>
      <c r="E100" s="6" t="s">
        <v>156</v>
      </c>
      <c r="F100" s="6" t="s">
        <v>45</v>
      </c>
      <c r="G100" s="20" t="s">
        <v>35</v>
      </c>
      <c r="H100" s="6" t="s">
        <v>555</v>
      </c>
      <c r="I100" s="6" t="s">
        <v>560</v>
      </c>
      <c r="J100" s="7">
        <v>45017</v>
      </c>
      <c r="K100" s="22">
        <v>30000</v>
      </c>
      <c r="L100" s="22"/>
      <c r="M100" s="6" t="s">
        <v>53</v>
      </c>
      <c r="N100" s="6" t="s">
        <v>47</v>
      </c>
      <c r="O100" s="6" t="s">
        <v>18</v>
      </c>
      <c r="Q100" s="6">
        <v>1</v>
      </c>
    </row>
    <row r="101" spans="1:17" hidden="1" x14ac:dyDescent="0.25">
      <c r="A101" s="13">
        <v>100</v>
      </c>
      <c r="B101">
        <v>2023</v>
      </c>
      <c r="C101" s="4" t="s">
        <v>602</v>
      </c>
      <c r="D101" s="18" t="s">
        <v>157</v>
      </c>
      <c r="E101" t="s">
        <v>158</v>
      </c>
      <c r="F101" t="s">
        <v>159</v>
      </c>
      <c r="G101" s="2" t="s">
        <v>35</v>
      </c>
      <c r="H101" t="s">
        <v>555</v>
      </c>
      <c r="I101" t="s">
        <v>514</v>
      </c>
      <c r="J101" s="3">
        <v>45017</v>
      </c>
      <c r="K101" s="21">
        <v>18000</v>
      </c>
      <c r="M101" t="s">
        <v>21</v>
      </c>
      <c r="N101" t="s">
        <v>47</v>
      </c>
      <c r="O101" t="s">
        <v>18</v>
      </c>
      <c r="Q101">
        <v>1</v>
      </c>
    </row>
    <row r="102" spans="1:17" hidden="1" x14ac:dyDescent="0.25">
      <c r="A102">
        <v>101</v>
      </c>
      <c r="B102">
        <v>2023</v>
      </c>
      <c r="C102" s="4" t="s">
        <v>602</v>
      </c>
      <c r="D102" s="18" t="s">
        <v>160</v>
      </c>
      <c r="E102" t="s">
        <v>610</v>
      </c>
      <c r="F102" t="s">
        <v>161</v>
      </c>
      <c r="G102" t="s">
        <v>149</v>
      </c>
      <c r="H102" t="s">
        <v>555</v>
      </c>
      <c r="I102" t="s">
        <v>502</v>
      </c>
      <c r="J102" s="3">
        <v>45017</v>
      </c>
      <c r="K102" s="21">
        <v>35000</v>
      </c>
      <c r="M102" t="s">
        <v>16</v>
      </c>
      <c r="N102" t="s">
        <v>47</v>
      </c>
      <c r="O102" t="s">
        <v>18</v>
      </c>
      <c r="Q102">
        <v>1</v>
      </c>
    </row>
    <row r="103" spans="1:17" hidden="1" x14ac:dyDescent="0.25">
      <c r="A103">
        <v>102</v>
      </c>
      <c r="B103">
        <v>2023</v>
      </c>
      <c r="C103" s="4" t="s">
        <v>602</v>
      </c>
      <c r="D103" s="18" t="s">
        <v>162</v>
      </c>
      <c r="E103" t="s">
        <v>163</v>
      </c>
      <c r="F103" t="s">
        <v>164</v>
      </c>
      <c r="G103" t="s">
        <v>547</v>
      </c>
      <c r="H103" t="s">
        <v>555</v>
      </c>
      <c r="I103" t="s">
        <v>511</v>
      </c>
      <c r="J103" s="3">
        <v>45017</v>
      </c>
      <c r="K103" s="21">
        <v>85000</v>
      </c>
      <c r="M103" t="s">
        <v>53</v>
      </c>
      <c r="N103" t="s">
        <v>26</v>
      </c>
      <c r="O103" t="s">
        <v>18</v>
      </c>
      <c r="Q103">
        <v>1</v>
      </c>
    </row>
    <row r="104" spans="1:17" s="6" customFormat="1" hidden="1" x14ac:dyDescent="0.25">
      <c r="A104" s="6">
        <v>103</v>
      </c>
      <c r="B104" s="6">
        <v>2023</v>
      </c>
      <c r="C104" s="35" t="s">
        <v>602</v>
      </c>
      <c r="D104" s="19" t="s">
        <v>165</v>
      </c>
      <c r="E104" s="6" t="s">
        <v>166</v>
      </c>
      <c r="F104" s="6" t="s">
        <v>574</v>
      </c>
      <c r="G104" s="20" t="s">
        <v>35</v>
      </c>
      <c r="H104" s="6" t="s">
        <v>555</v>
      </c>
      <c r="I104" s="6" t="s">
        <v>20</v>
      </c>
      <c r="J104" s="7">
        <v>45017</v>
      </c>
      <c r="K104" s="22">
        <v>42000</v>
      </c>
      <c r="L104" s="22"/>
      <c r="M104" s="6" t="s">
        <v>30</v>
      </c>
      <c r="N104" s="6" t="s">
        <v>26</v>
      </c>
      <c r="O104" s="6" t="s">
        <v>18</v>
      </c>
      <c r="Q104" s="6">
        <v>1</v>
      </c>
    </row>
    <row r="105" spans="1:17" hidden="1" x14ac:dyDescent="0.25">
      <c r="A105">
        <v>104</v>
      </c>
      <c r="B105">
        <v>2023</v>
      </c>
      <c r="C105" s="4" t="s">
        <v>602</v>
      </c>
      <c r="D105" s="18" t="s">
        <v>167</v>
      </c>
      <c r="E105" t="s">
        <v>168</v>
      </c>
      <c r="F105" t="s">
        <v>524</v>
      </c>
      <c r="G105" t="s">
        <v>541</v>
      </c>
      <c r="H105" t="s">
        <v>55</v>
      </c>
      <c r="I105" t="s">
        <v>544</v>
      </c>
      <c r="J105" s="3">
        <v>45017</v>
      </c>
      <c r="K105" s="21">
        <v>33000</v>
      </c>
      <c r="M105" t="s">
        <v>30</v>
      </c>
      <c r="N105" t="s">
        <v>47</v>
      </c>
      <c r="O105" t="s">
        <v>18</v>
      </c>
      <c r="Q105">
        <v>1</v>
      </c>
    </row>
    <row r="106" spans="1:17" s="6" customFormat="1" x14ac:dyDescent="0.25">
      <c r="A106" s="6">
        <v>105</v>
      </c>
      <c r="B106" s="6">
        <v>2023</v>
      </c>
      <c r="C106" s="35" t="s">
        <v>602</v>
      </c>
      <c r="D106" s="19" t="s">
        <v>169</v>
      </c>
      <c r="E106" s="6" t="s">
        <v>170</v>
      </c>
      <c r="F106" s="6" t="s">
        <v>45</v>
      </c>
      <c r="G106" s="6" t="s">
        <v>541</v>
      </c>
      <c r="H106" s="6" t="s">
        <v>55</v>
      </c>
      <c r="I106" s="6" t="s">
        <v>546</v>
      </c>
      <c r="J106" s="7">
        <v>45017</v>
      </c>
      <c r="K106" s="22">
        <v>30000</v>
      </c>
      <c r="L106" s="22"/>
      <c r="M106" s="6" t="s">
        <v>171</v>
      </c>
      <c r="N106" s="6" t="s">
        <v>47</v>
      </c>
      <c r="O106" s="6" t="s">
        <v>18</v>
      </c>
      <c r="Q106" s="6">
        <v>1</v>
      </c>
    </row>
    <row r="107" spans="1:17" hidden="1" x14ac:dyDescent="0.25">
      <c r="A107">
        <v>106</v>
      </c>
      <c r="B107">
        <v>2023</v>
      </c>
      <c r="C107" s="4" t="s">
        <v>602</v>
      </c>
      <c r="D107" s="18" t="s">
        <v>172</v>
      </c>
      <c r="E107" t="s">
        <v>173</v>
      </c>
      <c r="F107" t="s">
        <v>150</v>
      </c>
      <c r="G107" t="s">
        <v>541</v>
      </c>
      <c r="H107" t="s">
        <v>57</v>
      </c>
      <c r="I107" t="s">
        <v>543</v>
      </c>
      <c r="J107" s="3">
        <v>45017</v>
      </c>
      <c r="K107" s="21">
        <v>55000</v>
      </c>
      <c r="M107" t="s">
        <v>58</v>
      </c>
      <c r="N107" t="s">
        <v>47</v>
      </c>
      <c r="O107" t="s">
        <v>18</v>
      </c>
      <c r="Q107">
        <v>1</v>
      </c>
    </row>
    <row r="108" spans="1:17" hidden="1" x14ac:dyDescent="0.25">
      <c r="A108">
        <v>107</v>
      </c>
      <c r="B108">
        <v>2023</v>
      </c>
      <c r="C108" s="4" t="s">
        <v>602</v>
      </c>
      <c r="D108" s="18" t="s">
        <v>174</v>
      </c>
      <c r="E108" t="s">
        <v>175</v>
      </c>
      <c r="F108" t="s">
        <v>525</v>
      </c>
      <c r="G108" t="s">
        <v>541</v>
      </c>
      <c r="H108" t="s">
        <v>55</v>
      </c>
      <c r="I108" t="s">
        <v>544</v>
      </c>
      <c r="J108" s="3">
        <v>45028</v>
      </c>
      <c r="K108" s="21">
        <v>130000</v>
      </c>
      <c r="M108" t="s">
        <v>30</v>
      </c>
      <c r="N108" t="s">
        <v>47</v>
      </c>
      <c r="O108" t="s">
        <v>18</v>
      </c>
      <c r="Q108">
        <v>1</v>
      </c>
    </row>
    <row r="109" spans="1:17" hidden="1" x14ac:dyDescent="0.25">
      <c r="A109">
        <v>108</v>
      </c>
      <c r="B109">
        <v>2023</v>
      </c>
      <c r="C109" s="4" t="s">
        <v>602</v>
      </c>
      <c r="D109" s="18" t="s">
        <v>176</v>
      </c>
      <c r="E109" t="s">
        <v>177</v>
      </c>
      <c r="F109" t="s">
        <v>178</v>
      </c>
      <c r="G109" t="s">
        <v>549</v>
      </c>
      <c r="H109" t="s">
        <v>555</v>
      </c>
      <c r="I109" t="s">
        <v>550</v>
      </c>
      <c r="J109" s="3">
        <v>45024</v>
      </c>
      <c r="K109" s="21">
        <v>27000</v>
      </c>
      <c r="M109" t="s">
        <v>16</v>
      </c>
      <c r="N109" t="s">
        <v>47</v>
      </c>
      <c r="O109" t="s">
        <v>18</v>
      </c>
      <c r="Q109">
        <v>1</v>
      </c>
    </row>
    <row r="110" spans="1:17" s="6" customFormat="1" x14ac:dyDescent="0.25">
      <c r="A110" s="6">
        <v>109</v>
      </c>
      <c r="B110" s="6">
        <v>2023</v>
      </c>
      <c r="C110" s="35" t="s">
        <v>602</v>
      </c>
      <c r="D110" s="19" t="s">
        <v>179</v>
      </c>
      <c r="E110" s="6" t="s">
        <v>180</v>
      </c>
      <c r="F110" s="6" t="s">
        <v>45</v>
      </c>
      <c r="G110" s="6" t="s">
        <v>506</v>
      </c>
      <c r="H110" s="6" t="s">
        <v>55</v>
      </c>
      <c r="I110" s="6" t="s">
        <v>517</v>
      </c>
      <c r="J110" s="7">
        <v>45024</v>
      </c>
      <c r="K110" s="22">
        <v>25000</v>
      </c>
      <c r="L110" s="22"/>
      <c r="M110" s="6" t="s">
        <v>21</v>
      </c>
      <c r="N110" s="6" t="s">
        <v>47</v>
      </c>
      <c r="O110" s="6" t="s">
        <v>18</v>
      </c>
      <c r="Q110" s="6">
        <v>1</v>
      </c>
    </row>
    <row r="111" spans="1:17" hidden="1" x14ac:dyDescent="0.25">
      <c r="A111" s="13">
        <v>110</v>
      </c>
      <c r="B111">
        <v>2023</v>
      </c>
      <c r="C111" s="4" t="s">
        <v>602</v>
      </c>
      <c r="D111" s="18" t="s">
        <v>181</v>
      </c>
      <c r="E111" t="s">
        <v>182</v>
      </c>
      <c r="F111" t="s">
        <v>70</v>
      </c>
      <c r="G111" t="s">
        <v>71</v>
      </c>
      <c r="H111" t="s">
        <v>55</v>
      </c>
      <c r="I111" t="s">
        <v>510</v>
      </c>
      <c r="J111" s="3">
        <v>45018</v>
      </c>
      <c r="K111" s="21">
        <v>56000</v>
      </c>
      <c r="M111" t="s">
        <v>30</v>
      </c>
      <c r="N111" t="s">
        <v>47</v>
      </c>
      <c r="O111" t="s">
        <v>20</v>
      </c>
      <c r="Q111">
        <v>1</v>
      </c>
    </row>
    <row r="112" spans="1:17" hidden="1" x14ac:dyDescent="0.25">
      <c r="A112">
        <v>111</v>
      </c>
      <c r="B112">
        <v>2023</v>
      </c>
      <c r="C112" s="4" t="s">
        <v>602</v>
      </c>
      <c r="D112" s="18" t="s">
        <v>183</v>
      </c>
      <c r="E112" t="s">
        <v>184</v>
      </c>
      <c r="F112" t="s">
        <v>388</v>
      </c>
      <c r="G112" t="s">
        <v>71</v>
      </c>
      <c r="H112" t="s">
        <v>55</v>
      </c>
      <c r="I112" t="s">
        <v>499</v>
      </c>
      <c r="J112" s="3">
        <v>45018</v>
      </c>
      <c r="K112" s="21">
        <v>50000</v>
      </c>
      <c r="M112" t="s">
        <v>30</v>
      </c>
      <c r="N112" t="s">
        <v>26</v>
      </c>
      <c r="O112" t="s">
        <v>20</v>
      </c>
      <c r="Q112">
        <v>1</v>
      </c>
    </row>
    <row r="113" spans="1:17" hidden="1" x14ac:dyDescent="0.25">
      <c r="A113">
        <v>112</v>
      </c>
      <c r="B113">
        <v>2023</v>
      </c>
      <c r="C113" s="4" t="s">
        <v>602</v>
      </c>
      <c r="D113" s="18" t="s">
        <v>185</v>
      </c>
      <c r="E113" t="s">
        <v>186</v>
      </c>
      <c r="F113" t="s">
        <v>146</v>
      </c>
      <c r="G113" t="s">
        <v>71</v>
      </c>
      <c r="H113" t="s">
        <v>555</v>
      </c>
      <c r="I113" t="s">
        <v>561</v>
      </c>
      <c r="J113" s="3">
        <v>45020</v>
      </c>
      <c r="K113" s="21">
        <v>20000</v>
      </c>
      <c r="M113" t="s">
        <v>30</v>
      </c>
      <c r="N113" t="s">
        <v>26</v>
      </c>
      <c r="O113" t="s">
        <v>18</v>
      </c>
      <c r="Q113">
        <v>1</v>
      </c>
    </row>
    <row r="114" spans="1:17" hidden="1" x14ac:dyDescent="0.25">
      <c r="A114">
        <v>113</v>
      </c>
      <c r="B114">
        <v>2023</v>
      </c>
      <c r="C114" s="4" t="s">
        <v>602</v>
      </c>
      <c r="D114" s="18" t="s">
        <v>187</v>
      </c>
      <c r="E114" t="s">
        <v>188</v>
      </c>
      <c r="F114" t="s">
        <v>146</v>
      </c>
      <c r="G114" t="s">
        <v>71</v>
      </c>
      <c r="H114" t="s">
        <v>555</v>
      </c>
      <c r="I114" t="s">
        <v>561</v>
      </c>
      <c r="J114" s="3">
        <v>45020</v>
      </c>
      <c r="K114" s="21">
        <v>20000</v>
      </c>
      <c r="M114" t="s">
        <v>21</v>
      </c>
      <c r="N114" t="s">
        <v>26</v>
      </c>
      <c r="O114" t="s">
        <v>18</v>
      </c>
      <c r="Q114">
        <v>1</v>
      </c>
    </row>
    <row r="115" spans="1:17" hidden="1" x14ac:dyDescent="0.25">
      <c r="A115">
        <v>114</v>
      </c>
      <c r="B115">
        <v>2023</v>
      </c>
      <c r="C115" s="4" t="s">
        <v>602</v>
      </c>
      <c r="D115" s="18" t="s">
        <v>189</v>
      </c>
      <c r="E115" t="s">
        <v>633</v>
      </c>
      <c r="F115" t="s">
        <v>146</v>
      </c>
      <c r="G115" t="s">
        <v>71</v>
      </c>
      <c r="H115" t="s">
        <v>555</v>
      </c>
      <c r="I115" t="s">
        <v>561</v>
      </c>
      <c r="J115" s="3">
        <v>45020</v>
      </c>
      <c r="K115" s="21">
        <v>20000</v>
      </c>
      <c r="M115" t="s">
        <v>78</v>
      </c>
      <c r="N115" t="s">
        <v>26</v>
      </c>
      <c r="O115" t="s">
        <v>18</v>
      </c>
      <c r="Q115">
        <v>1</v>
      </c>
    </row>
    <row r="116" spans="1:17" hidden="1" x14ac:dyDescent="0.25">
      <c r="A116">
        <v>115</v>
      </c>
      <c r="B116">
        <v>2023</v>
      </c>
      <c r="C116" s="4" t="s">
        <v>602</v>
      </c>
      <c r="D116" s="18" t="s">
        <v>190</v>
      </c>
      <c r="E116" t="s">
        <v>191</v>
      </c>
      <c r="F116" t="s">
        <v>146</v>
      </c>
      <c r="G116" t="s">
        <v>71</v>
      </c>
      <c r="H116" t="s">
        <v>555</v>
      </c>
      <c r="I116" t="s">
        <v>562</v>
      </c>
      <c r="J116" s="3">
        <v>45020</v>
      </c>
      <c r="K116" s="21">
        <v>20000</v>
      </c>
      <c r="M116" t="s">
        <v>21</v>
      </c>
      <c r="N116" t="s">
        <v>26</v>
      </c>
      <c r="O116" t="s">
        <v>18</v>
      </c>
      <c r="Q116">
        <v>1</v>
      </c>
    </row>
    <row r="117" spans="1:17" x14ac:dyDescent="0.25">
      <c r="A117">
        <v>116</v>
      </c>
      <c r="B117">
        <v>2023</v>
      </c>
      <c r="C117" s="4" t="s">
        <v>602</v>
      </c>
      <c r="D117" s="18" t="s">
        <v>192</v>
      </c>
      <c r="E117" t="s">
        <v>193</v>
      </c>
      <c r="F117" t="s">
        <v>45</v>
      </c>
      <c r="G117" t="s">
        <v>76</v>
      </c>
      <c r="H117" t="s">
        <v>555</v>
      </c>
      <c r="I117" t="s">
        <v>562</v>
      </c>
      <c r="J117" s="3">
        <v>45017</v>
      </c>
      <c r="K117" s="21">
        <v>20000</v>
      </c>
      <c r="M117" t="s">
        <v>194</v>
      </c>
      <c r="N117" t="s">
        <v>26</v>
      </c>
      <c r="O117" t="s">
        <v>18</v>
      </c>
      <c r="Q117">
        <v>1</v>
      </c>
    </row>
    <row r="118" spans="1:17" s="6" customFormat="1" hidden="1" x14ac:dyDescent="0.25">
      <c r="A118" s="6">
        <v>117</v>
      </c>
      <c r="B118" s="6">
        <v>2023</v>
      </c>
      <c r="C118" s="35" t="s">
        <v>602</v>
      </c>
      <c r="D118" s="19" t="s">
        <v>195</v>
      </c>
      <c r="E118" s="6" t="s">
        <v>196</v>
      </c>
      <c r="F118" s="6" t="s">
        <v>654</v>
      </c>
      <c r="G118" s="6" t="s">
        <v>35</v>
      </c>
      <c r="H118" s="6" t="s">
        <v>409</v>
      </c>
      <c r="I118" s="6" t="s">
        <v>514</v>
      </c>
      <c r="J118" s="7">
        <v>45017</v>
      </c>
      <c r="K118" s="22">
        <v>10775</v>
      </c>
      <c r="L118" s="22"/>
      <c r="M118" s="6" t="s">
        <v>197</v>
      </c>
      <c r="N118" s="6" t="s">
        <v>47</v>
      </c>
      <c r="O118" s="6" t="s">
        <v>18</v>
      </c>
      <c r="Q118" s="6">
        <v>1</v>
      </c>
    </row>
    <row r="119" spans="1:17" hidden="1" x14ac:dyDescent="0.25">
      <c r="A119">
        <v>118</v>
      </c>
      <c r="B119">
        <v>2023</v>
      </c>
      <c r="C119" s="4" t="s">
        <v>602</v>
      </c>
      <c r="D119" s="18" t="s">
        <v>198</v>
      </c>
      <c r="E119" t="s">
        <v>199</v>
      </c>
      <c r="F119" t="s">
        <v>654</v>
      </c>
      <c r="G119" t="s">
        <v>35</v>
      </c>
      <c r="H119" t="s">
        <v>409</v>
      </c>
      <c r="I119" t="s">
        <v>514</v>
      </c>
      <c r="J119" s="3">
        <v>45008</v>
      </c>
      <c r="K119" s="21">
        <v>10775</v>
      </c>
      <c r="M119" t="s">
        <v>197</v>
      </c>
      <c r="N119" t="s">
        <v>47</v>
      </c>
      <c r="O119" t="s">
        <v>18</v>
      </c>
      <c r="Q119">
        <v>1</v>
      </c>
    </row>
    <row r="120" spans="1:17" hidden="1" x14ac:dyDescent="0.25">
      <c r="A120">
        <v>119</v>
      </c>
      <c r="B120">
        <v>2023</v>
      </c>
      <c r="C120" s="4" t="s">
        <v>603</v>
      </c>
      <c r="D120" s="18" t="s">
        <v>201</v>
      </c>
      <c r="E120" t="s">
        <v>202</v>
      </c>
      <c r="F120" t="s">
        <v>89</v>
      </c>
      <c r="G120" s="2" t="s">
        <v>35</v>
      </c>
      <c r="H120" t="s">
        <v>90</v>
      </c>
      <c r="I120" t="s">
        <v>563</v>
      </c>
      <c r="J120" s="3">
        <v>45017</v>
      </c>
      <c r="K120" s="21">
        <v>10000</v>
      </c>
      <c r="M120" t="s">
        <v>21</v>
      </c>
      <c r="N120" t="s">
        <v>47</v>
      </c>
      <c r="O120" t="s">
        <v>18</v>
      </c>
      <c r="Q120">
        <v>1</v>
      </c>
    </row>
    <row r="121" spans="1:17" hidden="1" x14ac:dyDescent="0.25">
      <c r="A121" s="13">
        <v>120</v>
      </c>
      <c r="B121">
        <v>2023</v>
      </c>
      <c r="C121" s="4" t="s">
        <v>603</v>
      </c>
      <c r="D121" s="18" t="s">
        <v>203</v>
      </c>
      <c r="E121" t="s">
        <v>204</v>
      </c>
      <c r="F121" t="s">
        <v>83</v>
      </c>
      <c r="G121" s="2" t="s">
        <v>35</v>
      </c>
      <c r="H121" t="s">
        <v>555</v>
      </c>
      <c r="I121" t="s">
        <v>551</v>
      </c>
      <c r="J121" s="3">
        <v>45048</v>
      </c>
      <c r="K121" s="21">
        <v>16000</v>
      </c>
      <c r="M121" t="s">
        <v>21</v>
      </c>
      <c r="N121" t="s">
        <v>17</v>
      </c>
      <c r="O121" t="s">
        <v>18</v>
      </c>
      <c r="Q121">
        <v>1</v>
      </c>
    </row>
    <row r="122" spans="1:17" x14ac:dyDescent="0.25">
      <c r="A122">
        <v>121</v>
      </c>
      <c r="B122">
        <v>2023</v>
      </c>
      <c r="C122" s="4" t="s">
        <v>603</v>
      </c>
      <c r="D122" s="18" t="s">
        <v>205</v>
      </c>
      <c r="E122" t="s">
        <v>658</v>
      </c>
      <c r="F122" t="s">
        <v>45</v>
      </c>
      <c r="G122" t="s">
        <v>623</v>
      </c>
      <c r="H122" t="s">
        <v>55</v>
      </c>
      <c r="I122" t="s">
        <v>659</v>
      </c>
      <c r="J122" s="3">
        <v>45048</v>
      </c>
      <c r="K122" s="21">
        <v>30000</v>
      </c>
      <c r="M122" t="s">
        <v>30</v>
      </c>
      <c r="N122" t="s">
        <v>47</v>
      </c>
      <c r="O122" t="s">
        <v>18</v>
      </c>
      <c r="Q122">
        <v>1</v>
      </c>
    </row>
    <row r="123" spans="1:17" hidden="1" x14ac:dyDescent="0.25">
      <c r="A123">
        <v>122</v>
      </c>
      <c r="B123">
        <v>2023</v>
      </c>
      <c r="C123" s="4" t="s">
        <v>603</v>
      </c>
      <c r="D123" s="18" t="s">
        <v>206</v>
      </c>
      <c r="E123" t="s">
        <v>207</v>
      </c>
      <c r="F123" t="s">
        <v>524</v>
      </c>
      <c r="G123" t="s">
        <v>623</v>
      </c>
      <c r="H123" t="s">
        <v>555</v>
      </c>
      <c r="I123" t="s">
        <v>659</v>
      </c>
      <c r="J123" s="3">
        <v>45048</v>
      </c>
      <c r="K123" s="21">
        <v>40000</v>
      </c>
      <c r="M123" t="s">
        <v>21</v>
      </c>
      <c r="N123" t="s">
        <v>47</v>
      </c>
      <c r="O123" t="s">
        <v>18</v>
      </c>
      <c r="Q123">
        <v>1</v>
      </c>
    </row>
    <row r="124" spans="1:17" hidden="1" x14ac:dyDescent="0.25">
      <c r="A124" t="s">
        <v>41</v>
      </c>
      <c r="B124">
        <v>2023</v>
      </c>
      <c r="C124" s="4" t="s">
        <v>603</v>
      </c>
      <c r="D124" s="18" t="s">
        <v>208</v>
      </c>
      <c r="E124" t="s">
        <v>209</v>
      </c>
      <c r="F124" t="s">
        <v>526</v>
      </c>
      <c r="G124" t="s">
        <v>41</v>
      </c>
      <c r="H124" t="s">
        <v>55</v>
      </c>
      <c r="I124" t="s">
        <v>508</v>
      </c>
      <c r="J124" s="3">
        <v>45048</v>
      </c>
      <c r="K124" s="21">
        <v>20000</v>
      </c>
      <c r="M124" t="s">
        <v>21</v>
      </c>
      <c r="N124" t="s">
        <v>26</v>
      </c>
      <c r="O124" t="s">
        <v>18</v>
      </c>
      <c r="Q124">
        <v>1</v>
      </c>
    </row>
    <row r="125" spans="1:17" hidden="1" x14ac:dyDescent="0.25">
      <c r="A125">
        <v>124</v>
      </c>
      <c r="B125">
        <v>2023</v>
      </c>
      <c r="C125" s="4" t="s">
        <v>603</v>
      </c>
      <c r="D125" s="18" t="s">
        <v>210</v>
      </c>
      <c r="E125" t="s">
        <v>211</v>
      </c>
      <c r="F125" t="s">
        <v>526</v>
      </c>
      <c r="G125" t="s">
        <v>41</v>
      </c>
      <c r="H125" t="s">
        <v>15</v>
      </c>
      <c r="I125" t="s">
        <v>508</v>
      </c>
      <c r="J125" s="3">
        <v>45048</v>
      </c>
      <c r="K125" s="21">
        <v>20000</v>
      </c>
      <c r="M125" t="s">
        <v>78</v>
      </c>
      <c r="N125" t="s">
        <v>26</v>
      </c>
      <c r="O125" t="s">
        <v>18</v>
      </c>
      <c r="Q125">
        <v>1</v>
      </c>
    </row>
    <row r="126" spans="1:17" hidden="1" x14ac:dyDescent="0.25">
      <c r="A126">
        <v>125</v>
      </c>
      <c r="B126">
        <v>2023</v>
      </c>
      <c r="C126" s="4" t="s">
        <v>603</v>
      </c>
      <c r="D126" s="18" t="s">
        <v>212</v>
      </c>
      <c r="E126" t="s">
        <v>213</v>
      </c>
      <c r="F126" t="s">
        <v>214</v>
      </c>
      <c r="G126" t="s">
        <v>149</v>
      </c>
      <c r="H126" t="s">
        <v>555</v>
      </c>
      <c r="I126" t="s">
        <v>660</v>
      </c>
      <c r="J126" s="3">
        <v>45048</v>
      </c>
      <c r="K126" s="21">
        <v>20000</v>
      </c>
      <c r="M126" t="s">
        <v>21</v>
      </c>
      <c r="N126" t="s">
        <v>47</v>
      </c>
      <c r="O126" t="s">
        <v>18</v>
      </c>
      <c r="Q126">
        <v>1</v>
      </c>
    </row>
    <row r="127" spans="1:17" hidden="1" x14ac:dyDescent="0.25">
      <c r="A127">
        <v>126</v>
      </c>
      <c r="B127">
        <v>2023</v>
      </c>
      <c r="C127" s="4" t="s">
        <v>603</v>
      </c>
      <c r="D127" s="18" t="s">
        <v>215</v>
      </c>
      <c r="E127" t="s">
        <v>216</v>
      </c>
      <c r="F127" t="s">
        <v>214</v>
      </c>
      <c r="G127" t="s">
        <v>149</v>
      </c>
      <c r="H127" t="s">
        <v>555</v>
      </c>
      <c r="I127" t="s">
        <v>660</v>
      </c>
      <c r="J127" s="3">
        <v>45048</v>
      </c>
      <c r="K127" s="21">
        <v>20000</v>
      </c>
      <c r="M127" t="s">
        <v>21</v>
      </c>
      <c r="N127" t="s">
        <v>47</v>
      </c>
      <c r="O127" t="s">
        <v>18</v>
      </c>
      <c r="Q127">
        <v>1</v>
      </c>
    </row>
    <row r="128" spans="1:17" hidden="1" x14ac:dyDescent="0.25">
      <c r="A128">
        <v>127</v>
      </c>
      <c r="B128">
        <v>2023</v>
      </c>
      <c r="C128" s="4" t="s">
        <v>603</v>
      </c>
      <c r="D128" s="18" t="s">
        <v>217</v>
      </c>
      <c r="E128" t="s">
        <v>218</v>
      </c>
      <c r="F128" t="s">
        <v>219</v>
      </c>
      <c r="G128" t="s">
        <v>149</v>
      </c>
      <c r="H128" t="s">
        <v>555</v>
      </c>
      <c r="I128" t="s">
        <v>660</v>
      </c>
      <c r="J128" s="3">
        <v>45061</v>
      </c>
      <c r="K128" s="21">
        <v>48000</v>
      </c>
      <c r="M128" t="s">
        <v>30</v>
      </c>
      <c r="N128" t="s">
        <v>47</v>
      </c>
      <c r="O128" t="s">
        <v>18</v>
      </c>
      <c r="Q128">
        <v>1</v>
      </c>
    </row>
    <row r="129" spans="1:17" hidden="1" x14ac:dyDescent="0.25">
      <c r="A129">
        <v>128</v>
      </c>
      <c r="B129">
        <v>2023</v>
      </c>
      <c r="C129" s="4" t="s">
        <v>603</v>
      </c>
      <c r="D129" s="18" t="s">
        <v>220</v>
      </c>
      <c r="E129" t="s">
        <v>221</v>
      </c>
      <c r="F129" t="s">
        <v>128</v>
      </c>
      <c r="G129" t="s">
        <v>149</v>
      </c>
      <c r="H129" t="s">
        <v>15</v>
      </c>
      <c r="I129" t="s">
        <v>20</v>
      </c>
      <c r="J129" s="3">
        <v>45048</v>
      </c>
      <c r="L129" s="21">
        <v>1800</v>
      </c>
      <c r="M129" t="s">
        <v>16</v>
      </c>
      <c r="N129" t="s">
        <v>22</v>
      </c>
      <c r="O129" t="s">
        <v>18</v>
      </c>
      <c r="Q129">
        <v>1</v>
      </c>
    </row>
    <row r="130" spans="1:17" hidden="1" x14ac:dyDescent="0.25">
      <c r="A130">
        <v>129</v>
      </c>
      <c r="B130">
        <v>2023</v>
      </c>
      <c r="C130" s="4" t="s">
        <v>603</v>
      </c>
      <c r="D130" s="18" t="s">
        <v>222</v>
      </c>
      <c r="E130" t="s">
        <v>223</v>
      </c>
      <c r="F130" t="s">
        <v>122</v>
      </c>
      <c r="G130" t="s">
        <v>99</v>
      </c>
      <c r="H130" t="s">
        <v>555</v>
      </c>
      <c r="I130" t="s">
        <v>20</v>
      </c>
      <c r="J130" s="3">
        <v>45053</v>
      </c>
      <c r="K130" s="21">
        <v>220000</v>
      </c>
      <c r="M130" t="s">
        <v>21</v>
      </c>
      <c r="N130" t="s">
        <v>47</v>
      </c>
      <c r="O130" t="s">
        <v>18</v>
      </c>
      <c r="Q130">
        <v>1</v>
      </c>
    </row>
    <row r="131" spans="1:17" hidden="1" x14ac:dyDescent="0.25">
      <c r="A131" s="13">
        <v>130</v>
      </c>
      <c r="B131">
        <v>2023</v>
      </c>
      <c r="C131" s="4" t="s">
        <v>603</v>
      </c>
      <c r="D131" s="18" t="s">
        <v>224</v>
      </c>
      <c r="E131" t="s">
        <v>225</v>
      </c>
      <c r="F131" t="s">
        <v>150</v>
      </c>
      <c r="G131" t="s">
        <v>547</v>
      </c>
      <c r="H131" t="s">
        <v>555</v>
      </c>
      <c r="I131" t="s">
        <v>511</v>
      </c>
      <c r="J131" s="3">
        <v>45053</v>
      </c>
      <c r="K131" s="21">
        <v>80000</v>
      </c>
      <c r="M131" t="s">
        <v>58</v>
      </c>
      <c r="N131" t="s">
        <v>26</v>
      </c>
      <c r="O131" t="s">
        <v>18</v>
      </c>
      <c r="Q131">
        <v>1</v>
      </c>
    </row>
    <row r="132" spans="1:17" x14ac:dyDescent="0.25">
      <c r="A132">
        <v>131</v>
      </c>
      <c r="B132">
        <v>2023</v>
      </c>
      <c r="C132" s="4" t="s">
        <v>603</v>
      </c>
      <c r="D132" s="18" t="s">
        <v>226</v>
      </c>
      <c r="E132" t="s">
        <v>634</v>
      </c>
      <c r="F132" t="s">
        <v>45</v>
      </c>
      <c r="G132" t="s">
        <v>505</v>
      </c>
      <c r="H132" t="s">
        <v>555</v>
      </c>
      <c r="I132" t="s">
        <v>501</v>
      </c>
      <c r="J132" s="3">
        <v>45048</v>
      </c>
      <c r="K132" s="21">
        <v>22000</v>
      </c>
      <c r="M132" t="s">
        <v>21</v>
      </c>
      <c r="N132" t="s">
        <v>17</v>
      </c>
      <c r="O132" t="s">
        <v>18</v>
      </c>
      <c r="Q132">
        <v>1</v>
      </c>
    </row>
    <row r="133" spans="1:17" x14ac:dyDescent="0.25">
      <c r="A133">
        <v>132</v>
      </c>
      <c r="B133">
        <v>2023</v>
      </c>
      <c r="C133" s="4" t="s">
        <v>603</v>
      </c>
      <c r="D133" s="18" t="s">
        <v>227</v>
      </c>
      <c r="E133" t="s">
        <v>228</v>
      </c>
      <c r="F133" t="s">
        <v>45</v>
      </c>
      <c r="G133" t="s">
        <v>505</v>
      </c>
      <c r="H133" t="s">
        <v>555</v>
      </c>
      <c r="I133" t="s">
        <v>501</v>
      </c>
      <c r="J133" s="3">
        <v>45050</v>
      </c>
      <c r="K133" s="21">
        <v>30000</v>
      </c>
      <c r="M133" t="s">
        <v>21</v>
      </c>
      <c r="N133" t="s">
        <v>47</v>
      </c>
      <c r="O133" t="s">
        <v>18</v>
      </c>
      <c r="Q133">
        <v>1</v>
      </c>
    </row>
    <row r="134" spans="1:17" hidden="1" x14ac:dyDescent="0.25">
      <c r="A134">
        <v>133</v>
      </c>
      <c r="B134">
        <v>2023</v>
      </c>
      <c r="C134" s="4" t="s">
        <v>603</v>
      </c>
      <c r="D134" s="18" t="s">
        <v>229</v>
      </c>
      <c r="E134" t="s">
        <v>635</v>
      </c>
      <c r="F134" t="s">
        <v>24</v>
      </c>
      <c r="G134" t="s">
        <v>541</v>
      </c>
      <c r="H134" t="s">
        <v>55</v>
      </c>
      <c r="I134" t="s">
        <v>20</v>
      </c>
      <c r="J134" s="3">
        <v>45048</v>
      </c>
      <c r="K134" s="21">
        <v>45000</v>
      </c>
      <c r="M134" t="s">
        <v>30</v>
      </c>
      <c r="N134" t="s">
        <v>26</v>
      </c>
      <c r="O134" t="s">
        <v>18</v>
      </c>
      <c r="Q134">
        <v>1</v>
      </c>
    </row>
    <row r="135" spans="1:17" hidden="1" x14ac:dyDescent="0.25">
      <c r="A135">
        <v>134</v>
      </c>
      <c r="B135">
        <v>2023</v>
      </c>
      <c r="C135" s="4" t="s">
        <v>603</v>
      </c>
      <c r="D135" s="18" t="s">
        <v>230</v>
      </c>
      <c r="E135" t="s">
        <v>231</v>
      </c>
      <c r="F135" t="s">
        <v>24</v>
      </c>
      <c r="G135" t="s">
        <v>541</v>
      </c>
      <c r="H135" t="s">
        <v>55</v>
      </c>
      <c r="I135" t="s">
        <v>20</v>
      </c>
      <c r="J135" s="3">
        <v>45048</v>
      </c>
      <c r="K135" s="21">
        <v>45000</v>
      </c>
      <c r="M135" t="s">
        <v>30</v>
      </c>
      <c r="N135" t="s">
        <v>26</v>
      </c>
      <c r="O135" t="s">
        <v>18</v>
      </c>
      <c r="Q135">
        <v>1</v>
      </c>
    </row>
    <row r="136" spans="1:17" hidden="1" x14ac:dyDescent="0.25">
      <c r="A136">
        <v>135</v>
      </c>
      <c r="B136">
        <v>2023</v>
      </c>
      <c r="C136" s="4" t="s">
        <v>603</v>
      </c>
      <c r="D136" s="18" t="s">
        <v>232</v>
      </c>
      <c r="E136" t="s">
        <v>233</v>
      </c>
      <c r="F136" t="s">
        <v>24</v>
      </c>
      <c r="G136" t="s">
        <v>541</v>
      </c>
      <c r="H136" t="s">
        <v>55</v>
      </c>
      <c r="I136" t="s">
        <v>20</v>
      </c>
      <c r="J136" s="3">
        <v>45048</v>
      </c>
      <c r="K136" s="21">
        <v>45000</v>
      </c>
      <c r="M136" t="s">
        <v>30</v>
      </c>
      <c r="N136" t="s">
        <v>26</v>
      </c>
      <c r="O136" t="s">
        <v>18</v>
      </c>
      <c r="Q136">
        <v>1</v>
      </c>
    </row>
    <row r="137" spans="1:17" x14ac:dyDescent="0.25">
      <c r="A137">
        <v>136</v>
      </c>
      <c r="B137">
        <v>2023</v>
      </c>
      <c r="C137" s="4" t="s">
        <v>603</v>
      </c>
      <c r="D137" s="18" t="s">
        <v>234</v>
      </c>
      <c r="E137" t="s">
        <v>235</v>
      </c>
      <c r="F137" t="s">
        <v>45</v>
      </c>
      <c r="G137" t="s">
        <v>541</v>
      </c>
      <c r="H137" t="s">
        <v>55</v>
      </c>
      <c r="I137" t="s">
        <v>546</v>
      </c>
      <c r="J137" s="3">
        <v>45048</v>
      </c>
      <c r="K137" s="21">
        <v>32000</v>
      </c>
      <c r="M137" t="s">
        <v>30</v>
      </c>
      <c r="N137" t="s">
        <v>47</v>
      </c>
      <c r="O137" t="s">
        <v>18</v>
      </c>
      <c r="Q137">
        <v>1</v>
      </c>
    </row>
    <row r="138" spans="1:17" x14ac:dyDescent="0.25">
      <c r="A138">
        <v>137</v>
      </c>
      <c r="B138">
        <v>2023</v>
      </c>
      <c r="C138" s="4" t="s">
        <v>603</v>
      </c>
      <c r="D138" s="18" t="s">
        <v>236</v>
      </c>
      <c r="E138" t="s">
        <v>237</v>
      </c>
      <c r="F138" t="s">
        <v>45</v>
      </c>
      <c r="G138" t="s">
        <v>541</v>
      </c>
      <c r="H138" t="s">
        <v>55</v>
      </c>
      <c r="I138" t="s">
        <v>546</v>
      </c>
      <c r="J138" s="3">
        <v>45048</v>
      </c>
      <c r="K138" s="21">
        <v>30000</v>
      </c>
      <c r="M138" t="s">
        <v>30</v>
      </c>
      <c r="N138" t="s">
        <v>47</v>
      </c>
      <c r="O138" t="s">
        <v>18</v>
      </c>
      <c r="Q138">
        <v>1</v>
      </c>
    </row>
    <row r="139" spans="1:17" hidden="1" x14ac:dyDescent="0.25">
      <c r="A139">
        <v>138</v>
      </c>
      <c r="B139">
        <v>2023</v>
      </c>
      <c r="C139" s="4" t="s">
        <v>603</v>
      </c>
      <c r="D139" s="18" t="s">
        <v>238</v>
      </c>
      <c r="E139" t="s">
        <v>239</v>
      </c>
      <c r="F139" t="s">
        <v>509</v>
      </c>
      <c r="G139" t="s">
        <v>541</v>
      </c>
      <c r="H139" t="s">
        <v>60</v>
      </c>
      <c r="I139" t="s">
        <v>544</v>
      </c>
      <c r="J139" s="3">
        <v>45048</v>
      </c>
      <c r="K139" s="21">
        <v>130000</v>
      </c>
      <c r="M139" t="s">
        <v>61</v>
      </c>
      <c r="N139" t="s">
        <v>47</v>
      </c>
      <c r="O139" t="s">
        <v>18</v>
      </c>
      <c r="Q139">
        <v>1</v>
      </c>
    </row>
    <row r="140" spans="1:17" x14ac:dyDescent="0.25">
      <c r="A140">
        <v>139</v>
      </c>
      <c r="B140">
        <v>2023</v>
      </c>
      <c r="C140" s="4" t="s">
        <v>603</v>
      </c>
      <c r="D140" s="18" t="s">
        <v>240</v>
      </c>
      <c r="E140" t="s">
        <v>241</v>
      </c>
      <c r="F140" t="s">
        <v>45</v>
      </c>
      <c r="G140" t="s">
        <v>541</v>
      </c>
      <c r="H140" t="s">
        <v>15</v>
      </c>
      <c r="I140" t="s">
        <v>546</v>
      </c>
      <c r="J140" s="3">
        <v>45048</v>
      </c>
      <c r="K140" s="21">
        <v>22000</v>
      </c>
      <c r="M140" t="s">
        <v>21</v>
      </c>
      <c r="N140" t="s">
        <v>47</v>
      </c>
      <c r="O140" t="s">
        <v>18</v>
      </c>
      <c r="Q140">
        <v>1</v>
      </c>
    </row>
    <row r="141" spans="1:17" hidden="1" x14ac:dyDescent="0.25">
      <c r="A141" s="13">
        <v>140</v>
      </c>
      <c r="B141">
        <v>2023</v>
      </c>
      <c r="C141" s="4" t="s">
        <v>603</v>
      </c>
      <c r="D141" s="18" t="s">
        <v>242</v>
      </c>
      <c r="E141" t="s">
        <v>636</v>
      </c>
      <c r="F141" t="s">
        <v>526</v>
      </c>
      <c r="G141" t="s">
        <v>541</v>
      </c>
      <c r="H141" t="s">
        <v>15</v>
      </c>
      <c r="I141" t="s">
        <v>546</v>
      </c>
      <c r="J141" s="3">
        <v>45048</v>
      </c>
      <c r="K141" s="21">
        <v>18000</v>
      </c>
      <c r="M141" t="s">
        <v>16</v>
      </c>
      <c r="N141" t="s">
        <v>47</v>
      </c>
      <c r="O141" t="s">
        <v>18</v>
      </c>
      <c r="Q141">
        <v>1</v>
      </c>
    </row>
    <row r="142" spans="1:17" x14ac:dyDescent="0.25">
      <c r="A142">
        <v>141</v>
      </c>
      <c r="B142">
        <v>2023</v>
      </c>
      <c r="C142" s="4" t="s">
        <v>603</v>
      </c>
      <c r="D142" s="18" t="s">
        <v>243</v>
      </c>
      <c r="E142" t="s">
        <v>244</v>
      </c>
      <c r="F142" t="s">
        <v>45</v>
      </c>
      <c r="G142" t="s">
        <v>541</v>
      </c>
      <c r="H142" t="s">
        <v>55</v>
      </c>
      <c r="I142" t="s">
        <v>544</v>
      </c>
      <c r="J142" s="3">
        <v>45048</v>
      </c>
      <c r="K142" s="21">
        <v>27000</v>
      </c>
      <c r="M142" t="s">
        <v>30</v>
      </c>
      <c r="N142" t="s">
        <v>47</v>
      </c>
      <c r="O142" t="s">
        <v>18</v>
      </c>
      <c r="Q142">
        <v>1</v>
      </c>
    </row>
    <row r="143" spans="1:17" s="24" customFormat="1" x14ac:dyDescent="0.25">
      <c r="A143" s="24">
        <v>142</v>
      </c>
      <c r="B143">
        <v>2023</v>
      </c>
      <c r="C143" s="4" t="s">
        <v>603</v>
      </c>
      <c r="D143" s="26" t="s">
        <v>245</v>
      </c>
      <c r="E143" s="24" t="s">
        <v>637</v>
      </c>
      <c r="F143" s="24" t="s">
        <v>45</v>
      </c>
      <c r="G143" s="24" t="s">
        <v>541</v>
      </c>
      <c r="H143" s="24" t="s">
        <v>133</v>
      </c>
      <c r="I143" s="24" t="s">
        <v>545</v>
      </c>
      <c r="J143" s="25">
        <v>45048</v>
      </c>
      <c r="K143" s="27">
        <v>30000</v>
      </c>
      <c r="L143" s="27"/>
      <c r="M143" s="24" t="s">
        <v>16</v>
      </c>
      <c r="N143" s="24" t="s">
        <v>47</v>
      </c>
      <c r="O143" s="24" t="s">
        <v>18</v>
      </c>
      <c r="Q143" s="24">
        <v>1</v>
      </c>
    </row>
    <row r="144" spans="1:17" s="24" customFormat="1" x14ac:dyDescent="0.25">
      <c r="A144" s="24">
        <v>143</v>
      </c>
      <c r="B144" s="24">
        <v>2023</v>
      </c>
      <c r="C144" s="36" t="s">
        <v>603</v>
      </c>
      <c r="D144" s="26" t="s">
        <v>246</v>
      </c>
      <c r="E144" s="24" t="s">
        <v>247</v>
      </c>
      <c r="F144" s="24" t="s">
        <v>45</v>
      </c>
      <c r="G144" s="24" t="s">
        <v>541</v>
      </c>
      <c r="H144" s="24" t="s">
        <v>60</v>
      </c>
      <c r="I144" s="24" t="s">
        <v>546</v>
      </c>
      <c r="J144" s="25">
        <v>45061</v>
      </c>
      <c r="K144" s="27">
        <v>24000</v>
      </c>
      <c r="L144" s="27"/>
      <c r="M144" s="24" t="s">
        <v>248</v>
      </c>
      <c r="N144" s="24" t="s">
        <v>47</v>
      </c>
      <c r="O144" s="24" t="s">
        <v>18</v>
      </c>
      <c r="Q144" s="24">
        <v>1</v>
      </c>
    </row>
    <row r="145" spans="1:17" x14ac:dyDescent="0.25">
      <c r="A145">
        <v>144</v>
      </c>
      <c r="B145">
        <v>2023</v>
      </c>
      <c r="C145" s="4" t="s">
        <v>603</v>
      </c>
      <c r="D145" s="18" t="s">
        <v>249</v>
      </c>
      <c r="E145" t="s">
        <v>250</v>
      </c>
      <c r="F145" t="s">
        <v>45</v>
      </c>
      <c r="G145" t="s">
        <v>541</v>
      </c>
      <c r="H145" t="s">
        <v>55</v>
      </c>
      <c r="I145" t="s">
        <v>544</v>
      </c>
      <c r="J145" s="3">
        <v>45061</v>
      </c>
      <c r="K145" s="21">
        <v>27000</v>
      </c>
      <c r="M145" t="s">
        <v>30</v>
      </c>
      <c r="N145" t="s">
        <v>17</v>
      </c>
      <c r="O145" t="s">
        <v>18</v>
      </c>
      <c r="Q145">
        <v>1</v>
      </c>
    </row>
    <row r="146" spans="1:17" hidden="1" x14ac:dyDescent="0.25">
      <c r="A146">
        <v>145</v>
      </c>
      <c r="B146">
        <v>2023</v>
      </c>
      <c r="C146" s="4" t="s">
        <v>603</v>
      </c>
      <c r="D146" s="18" t="s">
        <v>251</v>
      </c>
      <c r="E146" t="s">
        <v>638</v>
      </c>
      <c r="F146" t="s">
        <v>70</v>
      </c>
      <c r="G146" t="s">
        <v>71</v>
      </c>
      <c r="H146" t="s">
        <v>55</v>
      </c>
      <c r="I146" t="s">
        <v>510</v>
      </c>
      <c r="J146" s="3">
        <v>45061</v>
      </c>
      <c r="K146" s="21">
        <v>55000</v>
      </c>
      <c r="M146" t="s">
        <v>30</v>
      </c>
      <c r="N146" t="s">
        <v>17</v>
      </c>
      <c r="O146" t="s">
        <v>20</v>
      </c>
      <c r="Q146">
        <v>1</v>
      </c>
    </row>
    <row r="147" spans="1:17" hidden="1" x14ac:dyDescent="0.25">
      <c r="A147">
        <v>146</v>
      </c>
      <c r="B147">
        <v>2023</v>
      </c>
      <c r="C147" s="4" t="s">
        <v>603</v>
      </c>
      <c r="D147" s="18" t="s">
        <v>252</v>
      </c>
      <c r="E147" t="s">
        <v>253</v>
      </c>
      <c r="F147" t="s">
        <v>388</v>
      </c>
      <c r="G147" t="s">
        <v>71</v>
      </c>
      <c r="H147" t="s">
        <v>55</v>
      </c>
      <c r="I147" t="s">
        <v>516</v>
      </c>
      <c r="J147" s="3">
        <v>45061</v>
      </c>
      <c r="K147" s="21">
        <v>37000</v>
      </c>
      <c r="M147" t="s">
        <v>30</v>
      </c>
      <c r="N147" t="s">
        <v>17</v>
      </c>
      <c r="O147" t="s">
        <v>20</v>
      </c>
      <c r="Q147">
        <v>1</v>
      </c>
    </row>
    <row r="148" spans="1:17" hidden="1" x14ac:dyDescent="0.25">
      <c r="A148">
        <v>147</v>
      </c>
      <c r="B148">
        <v>2023</v>
      </c>
      <c r="C148" s="4" t="s">
        <v>603</v>
      </c>
      <c r="D148" s="18" t="s">
        <v>254</v>
      </c>
      <c r="E148" t="s">
        <v>255</v>
      </c>
      <c r="F148" t="s">
        <v>70</v>
      </c>
      <c r="G148" t="s">
        <v>71</v>
      </c>
      <c r="H148" t="s">
        <v>55</v>
      </c>
      <c r="I148" t="s">
        <v>516</v>
      </c>
      <c r="J148" s="3">
        <v>45061</v>
      </c>
      <c r="K148" s="21">
        <v>58000</v>
      </c>
      <c r="M148" t="s">
        <v>30</v>
      </c>
      <c r="N148" t="s">
        <v>47</v>
      </c>
      <c r="O148" t="s">
        <v>20</v>
      </c>
      <c r="Q148">
        <v>1</v>
      </c>
    </row>
    <row r="149" spans="1:17" hidden="1" x14ac:dyDescent="0.25">
      <c r="A149">
        <v>148</v>
      </c>
      <c r="B149">
        <v>2023</v>
      </c>
      <c r="C149" s="4" t="s">
        <v>603</v>
      </c>
      <c r="D149" s="18" t="s">
        <v>256</v>
      </c>
      <c r="E149" t="s">
        <v>257</v>
      </c>
      <c r="F149" t="s">
        <v>146</v>
      </c>
      <c r="G149" t="s">
        <v>71</v>
      </c>
      <c r="H149" t="s">
        <v>55</v>
      </c>
      <c r="I149" t="s">
        <v>516</v>
      </c>
      <c r="J149" s="3">
        <v>45056</v>
      </c>
      <c r="K149" s="21">
        <v>20000</v>
      </c>
      <c r="M149" t="s">
        <v>30</v>
      </c>
      <c r="N149" t="s">
        <v>17</v>
      </c>
      <c r="O149" t="s">
        <v>20</v>
      </c>
      <c r="Q149">
        <v>1</v>
      </c>
    </row>
    <row r="150" spans="1:17" hidden="1" x14ac:dyDescent="0.25">
      <c r="A150">
        <v>149</v>
      </c>
      <c r="B150">
        <v>2023</v>
      </c>
      <c r="C150" s="4" t="s">
        <v>603</v>
      </c>
      <c r="D150" s="18" t="s">
        <v>258</v>
      </c>
      <c r="E150" t="s">
        <v>259</v>
      </c>
      <c r="F150" t="s">
        <v>146</v>
      </c>
      <c r="G150" t="s">
        <v>71</v>
      </c>
      <c r="H150" t="s">
        <v>55</v>
      </c>
      <c r="I150" t="s">
        <v>516</v>
      </c>
      <c r="J150" s="3">
        <v>45056</v>
      </c>
      <c r="K150" s="21">
        <v>20000</v>
      </c>
      <c r="M150" t="s">
        <v>30</v>
      </c>
      <c r="N150" t="s">
        <v>17</v>
      </c>
      <c r="O150" t="s">
        <v>20</v>
      </c>
      <c r="Q150">
        <v>1</v>
      </c>
    </row>
    <row r="151" spans="1:17" s="24" customFormat="1" hidden="1" x14ac:dyDescent="0.25">
      <c r="A151" s="24">
        <v>150</v>
      </c>
      <c r="B151">
        <v>2023</v>
      </c>
      <c r="C151" s="4" t="s">
        <v>603</v>
      </c>
      <c r="D151" s="26" t="s">
        <v>260</v>
      </c>
      <c r="E151" s="24" t="s">
        <v>261</v>
      </c>
      <c r="F151" s="24" t="s">
        <v>70</v>
      </c>
      <c r="G151" s="24" t="s">
        <v>71</v>
      </c>
      <c r="H151" s="24" t="s">
        <v>55</v>
      </c>
      <c r="I151" s="24" t="s">
        <v>516</v>
      </c>
      <c r="J151" s="25">
        <v>45048</v>
      </c>
      <c r="K151" s="27">
        <v>60000</v>
      </c>
      <c r="L151" s="27"/>
      <c r="M151" s="24" t="s">
        <v>30</v>
      </c>
      <c r="N151" s="24" t="s">
        <v>47</v>
      </c>
      <c r="O151" s="24" t="s">
        <v>20</v>
      </c>
      <c r="Q151" s="24">
        <v>1</v>
      </c>
    </row>
    <row r="152" spans="1:17" hidden="1" x14ac:dyDescent="0.25">
      <c r="A152">
        <v>151</v>
      </c>
      <c r="B152">
        <v>2023</v>
      </c>
      <c r="C152" s="4" t="s">
        <v>603</v>
      </c>
      <c r="D152" s="18" t="s">
        <v>262</v>
      </c>
      <c r="E152" t="s">
        <v>263</v>
      </c>
      <c r="F152" t="s">
        <v>146</v>
      </c>
      <c r="G152" t="s">
        <v>71</v>
      </c>
      <c r="H152" t="s">
        <v>55</v>
      </c>
      <c r="I152" t="s">
        <v>499</v>
      </c>
      <c r="J152" s="3">
        <v>45048</v>
      </c>
      <c r="K152" s="21">
        <v>20000</v>
      </c>
      <c r="M152" t="s">
        <v>30</v>
      </c>
      <c r="N152" t="s">
        <v>17</v>
      </c>
      <c r="O152" t="s">
        <v>20</v>
      </c>
      <c r="Q152">
        <v>1</v>
      </c>
    </row>
    <row r="153" spans="1:17" hidden="1" x14ac:dyDescent="0.25">
      <c r="A153">
        <v>152</v>
      </c>
      <c r="B153">
        <v>2023</v>
      </c>
      <c r="C153" s="4" t="s">
        <v>603</v>
      </c>
      <c r="D153" s="18" t="s">
        <v>264</v>
      </c>
      <c r="E153" t="s">
        <v>265</v>
      </c>
      <c r="F153" t="s">
        <v>146</v>
      </c>
      <c r="G153" t="s">
        <v>71</v>
      </c>
      <c r="H153" t="s">
        <v>55</v>
      </c>
      <c r="I153" t="s">
        <v>499</v>
      </c>
      <c r="J153" s="3">
        <v>45048</v>
      </c>
      <c r="K153" s="21">
        <v>20000</v>
      </c>
      <c r="M153" t="s">
        <v>30</v>
      </c>
      <c r="N153" t="s">
        <v>17</v>
      </c>
      <c r="O153" t="s">
        <v>20</v>
      </c>
      <c r="Q153">
        <v>1</v>
      </c>
    </row>
    <row r="154" spans="1:17" x14ac:dyDescent="0.25">
      <c r="A154">
        <v>153</v>
      </c>
      <c r="B154">
        <v>2023</v>
      </c>
      <c r="C154" s="4" t="s">
        <v>603</v>
      </c>
      <c r="D154" s="18" t="s">
        <v>266</v>
      </c>
      <c r="E154" t="s">
        <v>267</v>
      </c>
      <c r="F154" t="s">
        <v>45</v>
      </c>
      <c r="G154" s="6" t="s">
        <v>506</v>
      </c>
      <c r="H154" t="s">
        <v>57</v>
      </c>
      <c r="I154" t="s">
        <v>517</v>
      </c>
      <c r="J154" s="3">
        <v>45061</v>
      </c>
      <c r="K154" s="21">
        <v>25000</v>
      </c>
      <c r="M154" t="s">
        <v>78</v>
      </c>
      <c r="N154" t="s">
        <v>47</v>
      </c>
      <c r="O154" t="s">
        <v>18</v>
      </c>
      <c r="Q154">
        <v>1</v>
      </c>
    </row>
    <row r="155" spans="1:17" x14ac:dyDescent="0.25">
      <c r="A155">
        <v>154</v>
      </c>
      <c r="B155">
        <v>2023</v>
      </c>
      <c r="C155" s="4" t="s">
        <v>603</v>
      </c>
      <c r="D155" s="18" t="s">
        <v>268</v>
      </c>
      <c r="E155" t="s">
        <v>269</v>
      </c>
      <c r="F155" t="s">
        <v>45</v>
      </c>
      <c r="G155" s="6" t="s">
        <v>506</v>
      </c>
      <c r="H155" t="s">
        <v>555</v>
      </c>
      <c r="I155" t="s">
        <v>517</v>
      </c>
      <c r="J155" s="3">
        <v>45061</v>
      </c>
      <c r="K155" s="21">
        <v>25000</v>
      </c>
      <c r="M155" t="s">
        <v>21</v>
      </c>
      <c r="N155" t="s">
        <v>47</v>
      </c>
      <c r="O155" t="s">
        <v>18</v>
      </c>
      <c r="Q155">
        <v>1</v>
      </c>
    </row>
    <row r="156" spans="1:17" x14ac:dyDescent="0.25">
      <c r="A156">
        <v>155</v>
      </c>
      <c r="B156">
        <v>2023</v>
      </c>
      <c r="C156" s="4" t="s">
        <v>603</v>
      </c>
      <c r="D156" s="18" t="s">
        <v>270</v>
      </c>
      <c r="E156" t="s">
        <v>271</v>
      </c>
      <c r="F156" t="s">
        <v>45</v>
      </c>
      <c r="G156" s="6" t="s">
        <v>506</v>
      </c>
      <c r="H156" t="s">
        <v>555</v>
      </c>
      <c r="I156" t="s">
        <v>517</v>
      </c>
      <c r="J156" s="3">
        <v>45061</v>
      </c>
      <c r="K156" s="21">
        <v>25000</v>
      </c>
      <c r="M156" t="s">
        <v>21</v>
      </c>
      <c r="N156" t="s">
        <v>47</v>
      </c>
      <c r="O156" t="s">
        <v>18</v>
      </c>
      <c r="Q156">
        <v>1</v>
      </c>
    </row>
    <row r="157" spans="1:17" hidden="1" x14ac:dyDescent="0.25">
      <c r="A157">
        <v>156</v>
      </c>
      <c r="B157">
        <v>2023</v>
      </c>
      <c r="C157" s="4" t="s">
        <v>603</v>
      </c>
      <c r="D157" s="18" t="s">
        <v>272</v>
      </c>
      <c r="E157" t="s">
        <v>273</v>
      </c>
      <c r="F157" t="s">
        <v>122</v>
      </c>
      <c r="G157" t="s">
        <v>14</v>
      </c>
      <c r="H157" t="s">
        <v>15</v>
      </c>
      <c r="I157" t="s">
        <v>20</v>
      </c>
      <c r="J157" s="3">
        <v>45048</v>
      </c>
      <c r="L157" s="21">
        <v>4000</v>
      </c>
      <c r="M157" t="s">
        <v>16</v>
      </c>
      <c r="N157" t="s">
        <v>22</v>
      </c>
      <c r="O157" t="s">
        <v>18</v>
      </c>
      <c r="Q157">
        <v>1</v>
      </c>
    </row>
    <row r="158" spans="1:17" hidden="1" x14ac:dyDescent="0.25">
      <c r="A158">
        <v>157</v>
      </c>
      <c r="B158">
        <v>2023</v>
      </c>
      <c r="C158" s="4" t="s">
        <v>603</v>
      </c>
      <c r="D158" s="18" t="s">
        <v>274</v>
      </c>
      <c r="E158" t="s">
        <v>275</v>
      </c>
      <c r="F158" t="s">
        <v>276</v>
      </c>
      <c r="G158" t="s">
        <v>14</v>
      </c>
      <c r="H158" t="s">
        <v>15</v>
      </c>
      <c r="I158" t="s">
        <v>37</v>
      </c>
      <c r="J158" s="3">
        <v>45050</v>
      </c>
      <c r="L158" s="21">
        <v>3500</v>
      </c>
      <c r="M158" t="s">
        <v>21</v>
      </c>
      <c r="N158" t="s">
        <v>22</v>
      </c>
      <c r="O158" t="s">
        <v>18</v>
      </c>
      <c r="Q158">
        <v>1</v>
      </c>
    </row>
    <row r="159" spans="1:17" s="6" customFormat="1" hidden="1" x14ac:dyDescent="0.25">
      <c r="A159" s="6">
        <v>158</v>
      </c>
      <c r="B159" s="6">
        <v>2023</v>
      </c>
      <c r="C159" s="35" t="s">
        <v>603</v>
      </c>
      <c r="D159" s="19" t="s">
        <v>277</v>
      </c>
      <c r="E159" s="6" t="s">
        <v>278</v>
      </c>
      <c r="F159" s="6" t="s">
        <v>122</v>
      </c>
      <c r="G159" s="6" t="s">
        <v>425</v>
      </c>
      <c r="H159" s="6" t="s">
        <v>15</v>
      </c>
      <c r="I159" s="6" t="s">
        <v>661</v>
      </c>
      <c r="J159" s="7">
        <v>45049</v>
      </c>
      <c r="K159" s="22">
        <v>180000</v>
      </c>
      <c r="L159" s="22"/>
      <c r="M159" s="6" t="s">
        <v>78</v>
      </c>
      <c r="N159" s="6" t="s">
        <v>47</v>
      </c>
      <c r="O159" s="6" t="s">
        <v>18</v>
      </c>
      <c r="Q159" s="6">
        <v>1</v>
      </c>
    </row>
    <row r="160" spans="1:17" hidden="1" x14ac:dyDescent="0.25">
      <c r="A160">
        <v>159</v>
      </c>
      <c r="B160">
        <v>2023</v>
      </c>
      <c r="C160" s="4" t="s">
        <v>603</v>
      </c>
      <c r="D160" s="18" t="s">
        <v>279</v>
      </c>
      <c r="E160" t="s">
        <v>280</v>
      </c>
      <c r="F160" t="s">
        <v>150</v>
      </c>
      <c r="G160" t="s">
        <v>547</v>
      </c>
      <c r="H160" t="s">
        <v>555</v>
      </c>
      <c r="I160" t="s">
        <v>511</v>
      </c>
      <c r="J160" s="3">
        <v>45060</v>
      </c>
      <c r="K160" s="21">
        <v>70000</v>
      </c>
      <c r="M160" t="s">
        <v>194</v>
      </c>
      <c r="N160" t="s">
        <v>26</v>
      </c>
      <c r="O160" t="s">
        <v>18</v>
      </c>
      <c r="Q160">
        <v>1</v>
      </c>
    </row>
    <row r="161" spans="1:17" s="24" customFormat="1" hidden="1" x14ac:dyDescent="0.25">
      <c r="A161" s="24">
        <v>160</v>
      </c>
      <c r="B161">
        <v>2023</v>
      </c>
      <c r="C161" s="4" t="s">
        <v>603</v>
      </c>
      <c r="D161" s="26" t="s">
        <v>281</v>
      </c>
      <c r="E161" s="24" t="s">
        <v>282</v>
      </c>
      <c r="F161" s="24" t="s">
        <v>654</v>
      </c>
      <c r="G161" s="24" t="s">
        <v>35</v>
      </c>
      <c r="H161" s="24" t="s">
        <v>123</v>
      </c>
      <c r="I161" s="24" t="s">
        <v>514</v>
      </c>
      <c r="J161" s="25">
        <v>45061</v>
      </c>
      <c r="K161" s="27">
        <v>10775</v>
      </c>
      <c r="L161" s="27"/>
      <c r="M161" s="24" t="s">
        <v>68</v>
      </c>
      <c r="N161" s="24" t="s">
        <v>47</v>
      </c>
      <c r="O161" s="24" t="s">
        <v>18</v>
      </c>
      <c r="Q161" s="24">
        <v>1</v>
      </c>
    </row>
    <row r="162" spans="1:17" s="24" customFormat="1" x14ac:dyDescent="0.25">
      <c r="A162" s="24">
        <v>161</v>
      </c>
      <c r="B162">
        <v>2023</v>
      </c>
      <c r="C162" s="4" t="s">
        <v>603</v>
      </c>
      <c r="D162" s="26" t="s">
        <v>200</v>
      </c>
      <c r="E162" s="24" t="s">
        <v>283</v>
      </c>
      <c r="F162" s="24" t="s">
        <v>45</v>
      </c>
      <c r="G162" s="28" t="s">
        <v>716</v>
      </c>
      <c r="H162" s="24" t="s">
        <v>555</v>
      </c>
      <c r="I162" s="24" t="s">
        <v>18</v>
      </c>
      <c r="J162" s="25">
        <v>45048</v>
      </c>
      <c r="K162" s="27">
        <v>20000</v>
      </c>
      <c r="L162" s="27"/>
      <c r="M162" s="24" t="s">
        <v>21</v>
      </c>
      <c r="N162" s="24" t="s">
        <v>26</v>
      </c>
      <c r="O162" s="24" t="s">
        <v>18</v>
      </c>
      <c r="Q162" s="24">
        <v>1</v>
      </c>
    </row>
    <row r="163" spans="1:17" s="24" customFormat="1" x14ac:dyDescent="0.25">
      <c r="A163" s="24">
        <v>162</v>
      </c>
      <c r="B163">
        <v>2023</v>
      </c>
      <c r="C163" s="4" t="s">
        <v>603</v>
      </c>
      <c r="D163" s="26" t="s">
        <v>200</v>
      </c>
      <c r="E163" s="24" t="s">
        <v>639</v>
      </c>
      <c r="F163" s="24" t="s">
        <v>45</v>
      </c>
      <c r="G163" s="28" t="s">
        <v>716</v>
      </c>
      <c r="H163" s="24" t="s">
        <v>555</v>
      </c>
      <c r="I163" s="24" t="s">
        <v>18</v>
      </c>
      <c r="J163" s="25">
        <v>45048</v>
      </c>
      <c r="K163" s="27">
        <v>20000</v>
      </c>
      <c r="L163" s="27"/>
      <c r="M163" s="24" t="s">
        <v>21</v>
      </c>
      <c r="N163" s="24" t="s">
        <v>26</v>
      </c>
      <c r="O163" s="24" t="s">
        <v>18</v>
      </c>
      <c r="Q163" s="24">
        <v>1</v>
      </c>
    </row>
    <row r="164" spans="1:17" s="24" customFormat="1" x14ac:dyDescent="0.25">
      <c r="A164" s="24">
        <v>163</v>
      </c>
      <c r="B164">
        <v>2023</v>
      </c>
      <c r="C164" s="4" t="s">
        <v>603</v>
      </c>
      <c r="D164" s="26" t="s">
        <v>200</v>
      </c>
      <c r="E164" s="24" t="s">
        <v>284</v>
      </c>
      <c r="F164" s="24" t="s">
        <v>45</v>
      </c>
      <c r="G164" s="28" t="s">
        <v>716</v>
      </c>
      <c r="H164" s="24" t="s">
        <v>555</v>
      </c>
      <c r="I164" s="24" t="s">
        <v>18</v>
      </c>
      <c r="J164" s="25">
        <v>44986</v>
      </c>
      <c r="K164" s="27">
        <v>25000</v>
      </c>
      <c r="L164" s="27"/>
      <c r="M164" s="24" t="s">
        <v>21</v>
      </c>
      <c r="N164" s="24" t="s">
        <v>26</v>
      </c>
      <c r="O164" s="24" t="s">
        <v>18</v>
      </c>
      <c r="Q164" s="24">
        <v>1</v>
      </c>
    </row>
    <row r="165" spans="1:17" hidden="1" x14ac:dyDescent="0.25">
      <c r="A165">
        <v>164</v>
      </c>
      <c r="B165">
        <v>2023</v>
      </c>
      <c r="C165" s="4" t="s">
        <v>604</v>
      </c>
      <c r="D165" s="18" t="s">
        <v>285</v>
      </c>
      <c r="E165" t="s">
        <v>286</v>
      </c>
      <c r="F165" t="s">
        <v>83</v>
      </c>
      <c r="G165" s="2" t="s">
        <v>35</v>
      </c>
      <c r="H165" t="s">
        <v>555</v>
      </c>
      <c r="I165" t="s">
        <v>514</v>
      </c>
      <c r="J165" s="3">
        <v>45083</v>
      </c>
      <c r="K165" s="21">
        <v>24000</v>
      </c>
      <c r="M165" t="s">
        <v>21</v>
      </c>
      <c r="N165" t="s">
        <v>47</v>
      </c>
      <c r="O165" t="s">
        <v>18</v>
      </c>
      <c r="Q165">
        <v>1</v>
      </c>
    </row>
    <row r="166" spans="1:17" hidden="1" x14ac:dyDescent="0.25">
      <c r="A166">
        <v>165</v>
      </c>
      <c r="B166">
        <v>2023</v>
      </c>
      <c r="C166" s="4" t="s">
        <v>604</v>
      </c>
      <c r="D166" s="18" t="s">
        <v>287</v>
      </c>
      <c r="E166" t="s">
        <v>112</v>
      </c>
      <c r="F166" t="s">
        <v>83</v>
      </c>
      <c r="G166" s="2" t="s">
        <v>35</v>
      </c>
      <c r="H166" t="s">
        <v>555</v>
      </c>
      <c r="I166" t="s">
        <v>514</v>
      </c>
      <c r="J166" s="3">
        <v>45078</v>
      </c>
      <c r="K166" s="21">
        <v>15000</v>
      </c>
      <c r="M166" t="s">
        <v>21</v>
      </c>
      <c r="N166" t="s">
        <v>47</v>
      </c>
      <c r="O166" t="s">
        <v>18</v>
      </c>
      <c r="Q166">
        <v>1</v>
      </c>
    </row>
    <row r="167" spans="1:17" x14ac:dyDescent="0.25">
      <c r="A167">
        <v>166</v>
      </c>
      <c r="B167">
        <v>2023</v>
      </c>
      <c r="C167" s="4" t="s">
        <v>604</v>
      </c>
      <c r="D167" s="18" t="s">
        <v>288</v>
      </c>
      <c r="E167" t="s">
        <v>640</v>
      </c>
      <c r="F167" t="s">
        <v>45</v>
      </c>
      <c r="G167" t="s">
        <v>623</v>
      </c>
      <c r="H167" t="s">
        <v>15</v>
      </c>
      <c r="I167" t="s">
        <v>659</v>
      </c>
      <c r="J167" s="3">
        <v>45078</v>
      </c>
      <c r="K167" s="21">
        <v>25000</v>
      </c>
      <c r="M167" t="s">
        <v>21</v>
      </c>
      <c r="N167" t="s">
        <v>47</v>
      </c>
      <c r="O167" t="s">
        <v>18</v>
      </c>
      <c r="Q167">
        <v>1</v>
      </c>
    </row>
    <row r="168" spans="1:17" x14ac:dyDescent="0.25">
      <c r="A168">
        <v>167</v>
      </c>
      <c r="B168">
        <v>2023</v>
      </c>
      <c r="C168" s="4" t="s">
        <v>604</v>
      </c>
      <c r="D168" s="18" t="s">
        <v>289</v>
      </c>
      <c r="E168" t="s">
        <v>290</v>
      </c>
      <c r="F168" t="s">
        <v>45</v>
      </c>
      <c r="G168" t="s">
        <v>623</v>
      </c>
      <c r="H168" t="s">
        <v>55</v>
      </c>
      <c r="I168" t="s">
        <v>659</v>
      </c>
      <c r="J168" s="3">
        <v>45078</v>
      </c>
      <c r="K168" s="21">
        <v>27000</v>
      </c>
      <c r="M168" t="s">
        <v>30</v>
      </c>
      <c r="N168" t="s">
        <v>47</v>
      </c>
      <c r="O168" t="s">
        <v>18</v>
      </c>
      <c r="Q168">
        <v>1</v>
      </c>
    </row>
    <row r="169" spans="1:17" hidden="1" x14ac:dyDescent="0.25">
      <c r="A169">
        <v>168</v>
      </c>
      <c r="B169">
        <v>2023</v>
      </c>
      <c r="C169" s="4" t="s">
        <v>604</v>
      </c>
      <c r="D169" s="18" t="s">
        <v>291</v>
      </c>
      <c r="E169" t="s">
        <v>292</v>
      </c>
      <c r="F169" t="s">
        <v>524</v>
      </c>
      <c r="G169" t="s">
        <v>41</v>
      </c>
      <c r="H169" t="s">
        <v>555</v>
      </c>
      <c r="I169" t="s">
        <v>518</v>
      </c>
      <c r="J169" s="3">
        <v>45092</v>
      </c>
      <c r="K169" s="21">
        <v>35000</v>
      </c>
      <c r="M169" t="s">
        <v>58</v>
      </c>
      <c r="N169" t="s">
        <v>47</v>
      </c>
      <c r="O169" t="s">
        <v>18</v>
      </c>
      <c r="Q169">
        <v>1</v>
      </c>
    </row>
    <row r="170" spans="1:17" x14ac:dyDescent="0.25">
      <c r="A170">
        <v>169</v>
      </c>
      <c r="B170">
        <v>2023</v>
      </c>
      <c r="C170" s="4" t="s">
        <v>604</v>
      </c>
      <c r="D170" s="18" t="s">
        <v>293</v>
      </c>
      <c r="E170" t="s">
        <v>294</v>
      </c>
      <c r="F170" t="s">
        <v>45</v>
      </c>
      <c r="G170" t="s">
        <v>41</v>
      </c>
      <c r="H170" t="s">
        <v>555</v>
      </c>
      <c r="I170" t="s">
        <v>557</v>
      </c>
      <c r="J170" s="3">
        <v>45083</v>
      </c>
      <c r="K170" s="21">
        <v>25000</v>
      </c>
      <c r="M170" t="s">
        <v>21</v>
      </c>
      <c r="N170" t="s">
        <v>26</v>
      </c>
      <c r="O170" t="s">
        <v>18</v>
      </c>
      <c r="Q170">
        <v>1</v>
      </c>
    </row>
    <row r="171" spans="1:17" x14ac:dyDescent="0.25">
      <c r="A171" s="13">
        <v>170</v>
      </c>
      <c r="B171">
        <v>2023</v>
      </c>
      <c r="C171" s="4" t="s">
        <v>604</v>
      </c>
      <c r="D171" s="18" t="s">
        <v>295</v>
      </c>
      <c r="E171" t="s">
        <v>296</v>
      </c>
      <c r="F171" t="s">
        <v>45</v>
      </c>
      <c r="G171" t="s">
        <v>541</v>
      </c>
      <c r="H171" t="s">
        <v>555</v>
      </c>
      <c r="I171" t="s">
        <v>544</v>
      </c>
      <c r="J171" s="3">
        <v>45078</v>
      </c>
      <c r="K171" s="21">
        <v>20000</v>
      </c>
      <c r="M171" t="s">
        <v>21</v>
      </c>
      <c r="N171" t="s">
        <v>17</v>
      </c>
      <c r="O171" t="s">
        <v>18</v>
      </c>
      <c r="Q171">
        <v>1</v>
      </c>
    </row>
    <row r="172" spans="1:17" s="24" customFormat="1" hidden="1" x14ac:dyDescent="0.25">
      <c r="A172" s="24">
        <v>171</v>
      </c>
      <c r="B172" s="24">
        <v>2023</v>
      </c>
      <c r="C172" s="36" t="s">
        <v>604</v>
      </c>
      <c r="D172" s="26" t="s">
        <v>297</v>
      </c>
      <c r="E172" s="24" t="s">
        <v>298</v>
      </c>
      <c r="F172" s="24" t="s">
        <v>526</v>
      </c>
      <c r="G172" s="24" t="s">
        <v>541</v>
      </c>
      <c r="H172" s="24" t="s">
        <v>15</v>
      </c>
      <c r="I172" s="24" t="s">
        <v>546</v>
      </c>
      <c r="J172" s="25">
        <v>45092</v>
      </c>
      <c r="K172" s="27">
        <v>18000</v>
      </c>
      <c r="L172" s="27"/>
      <c r="M172" s="24" t="s">
        <v>38</v>
      </c>
      <c r="N172" s="24" t="s">
        <v>47</v>
      </c>
      <c r="O172" s="24" t="s">
        <v>18</v>
      </c>
      <c r="Q172" s="24">
        <v>1</v>
      </c>
    </row>
    <row r="173" spans="1:17" hidden="1" x14ac:dyDescent="0.25">
      <c r="A173">
        <v>172</v>
      </c>
      <c r="B173">
        <v>2023</v>
      </c>
      <c r="C173" s="4" t="s">
        <v>604</v>
      </c>
      <c r="D173" s="18" t="s">
        <v>299</v>
      </c>
      <c r="E173" t="s">
        <v>300</v>
      </c>
      <c r="F173" t="s">
        <v>122</v>
      </c>
      <c r="G173" t="s">
        <v>541</v>
      </c>
      <c r="H173" t="s">
        <v>55</v>
      </c>
      <c r="I173" t="s">
        <v>20</v>
      </c>
      <c r="J173" s="3">
        <v>45090</v>
      </c>
      <c r="K173" s="21">
        <v>300000</v>
      </c>
      <c r="M173" t="s">
        <v>30</v>
      </c>
      <c r="N173" t="s">
        <v>47</v>
      </c>
      <c r="O173" t="s">
        <v>18</v>
      </c>
      <c r="Q173">
        <v>1</v>
      </c>
    </row>
    <row r="174" spans="1:17" hidden="1" x14ac:dyDescent="0.25">
      <c r="A174">
        <v>173</v>
      </c>
      <c r="B174">
        <v>2023</v>
      </c>
      <c r="C174" s="4" t="s">
        <v>604</v>
      </c>
      <c r="D174" s="18" t="s">
        <v>301</v>
      </c>
      <c r="E174" t="s">
        <v>302</v>
      </c>
      <c r="F174" t="s">
        <v>122</v>
      </c>
      <c r="G174" t="s">
        <v>71</v>
      </c>
      <c r="H174" t="s">
        <v>55</v>
      </c>
      <c r="I174" t="s">
        <v>20</v>
      </c>
      <c r="J174" s="3">
        <v>45084</v>
      </c>
      <c r="L174" s="21">
        <v>3500</v>
      </c>
      <c r="M174" t="s">
        <v>30</v>
      </c>
      <c r="N174" t="s">
        <v>22</v>
      </c>
      <c r="O174" t="s">
        <v>18</v>
      </c>
      <c r="Q174">
        <v>1</v>
      </c>
    </row>
    <row r="175" spans="1:17" hidden="1" x14ac:dyDescent="0.25">
      <c r="A175">
        <v>174</v>
      </c>
      <c r="B175">
        <v>2023</v>
      </c>
      <c r="C175" s="4" t="s">
        <v>604</v>
      </c>
      <c r="D175" s="18" t="s">
        <v>303</v>
      </c>
      <c r="E175" t="s">
        <v>304</v>
      </c>
      <c r="F175" t="s">
        <v>146</v>
      </c>
      <c r="G175" t="s">
        <v>71</v>
      </c>
      <c r="H175" t="s">
        <v>55</v>
      </c>
      <c r="I175" t="s">
        <v>516</v>
      </c>
      <c r="J175" s="3">
        <v>45078</v>
      </c>
      <c r="K175" s="21">
        <v>20000</v>
      </c>
      <c r="M175" t="s">
        <v>30</v>
      </c>
      <c r="N175" t="s">
        <v>17</v>
      </c>
      <c r="O175" t="s">
        <v>20</v>
      </c>
      <c r="Q175">
        <v>1</v>
      </c>
    </row>
    <row r="176" spans="1:17" hidden="1" x14ac:dyDescent="0.25">
      <c r="A176">
        <v>175</v>
      </c>
      <c r="B176">
        <v>2023</v>
      </c>
      <c r="C176" s="4" t="s">
        <v>604</v>
      </c>
      <c r="D176" s="18" t="s">
        <v>305</v>
      </c>
      <c r="E176" t="s">
        <v>306</v>
      </c>
      <c r="F176" t="s">
        <v>146</v>
      </c>
      <c r="G176" t="s">
        <v>71</v>
      </c>
      <c r="H176" t="s">
        <v>55</v>
      </c>
      <c r="I176" t="s">
        <v>499</v>
      </c>
      <c r="J176" s="3">
        <v>45078</v>
      </c>
      <c r="K176" s="21">
        <v>20000</v>
      </c>
      <c r="M176" t="s">
        <v>30</v>
      </c>
      <c r="N176" t="s">
        <v>47</v>
      </c>
      <c r="O176" t="s">
        <v>20</v>
      </c>
      <c r="Q176">
        <v>1</v>
      </c>
    </row>
    <row r="177" spans="1:17" hidden="1" x14ac:dyDescent="0.25">
      <c r="A177">
        <v>176</v>
      </c>
      <c r="B177">
        <v>2023</v>
      </c>
      <c r="C177" s="4" t="s">
        <v>604</v>
      </c>
      <c r="D177" s="18" t="s">
        <v>307</v>
      </c>
      <c r="E177" t="s">
        <v>308</v>
      </c>
      <c r="F177" t="s">
        <v>146</v>
      </c>
      <c r="G177" t="s">
        <v>71</v>
      </c>
      <c r="H177" t="s">
        <v>55</v>
      </c>
      <c r="I177" t="s">
        <v>499</v>
      </c>
      <c r="J177" s="3">
        <v>45078</v>
      </c>
      <c r="K177" s="21">
        <v>20000</v>
      </c>
      <c r="M177" t="s">
        <v>30</v>
      </c>
      <c r="N177" t="s">
        <v>47</v>
      </c>
      <c r="O177" t="s">
        <v>20</v>
      </c>
      <c r="Q177">
        <v>1</v>
      </c>
    </row>
    <row r="178" spans="1:17" hidden="1" x14ac:dyDescent="0.25">
      <c r="A178">
        <v>177</v>
      </c>
      <c r="B178">
        <v>2023</v>
      </c>
      <c r="C178" s="4" t="s">
        <v>604</v>
      </c>
      <c r="D178" s="18" t="s">
        <v>309</v>
      </c>
      <c r="E178" t="s">
        <v>310</v>
      </c>
      <c r="F178" t="s">
        <v>146</v>
      </c>
      <c r="G178" t="s">
        <v>71</v>
      </c>
      <c r="H178" t="s">
        <v>55</v>
      </c>
      <c r="I178" t="s">
        <v>516</v>
      </c>
      <c r="J178" s="3">
        <v>45078</v>
      </c>
      <c r="K178" s="21">
        <v>20000</v>
      </c>
      <c r="M178" t="s">
        <v>30</v>
      </c>
      <c r="N178" t="s">
        <v>26</v>
      </c>
      <c r="O178" t="s">
        <v>20</v>
      </c>
      <c r="Q178">
        <v>1</v>
      </c>
    </row>
    <row r="179" spans="1:17" hidden="1" x14ac:dyDescent="0.25">
      <c r="A179">
        <v>178</v>
      </c>
      <c r="B179">
        <v>2023</v>
      </c>
      <c r="C179" s="4" t="s">
        <v>604</v>
      </c>
      <c r="D179" s="18" t="s">
        <v>311</v>
      </c>
      <c r="E179" t="s">
        <v>312</v>
      </c>
      <c r="F179" t="s">
        <v>388</v>
      </c>
      <c r="G179" t="s">
        <v>71</v>
      </c>
      <c r="H179" t="s">
        <v>55</v>
      </c>
      <c r="I179" t="s">
        <v>510</v>
      </c>
      <c r="J179" s="3">
        <v>45092</v>
      </c>
      <c r="K179" s="21">
        <v>40000</v>
      </c>
      <c r="M179" t="s">
        <v>30</v>
      </c>
      <c r="N179" t="s">
        <v>17</v>
      </c>
      <c r="O179" t="s">
        <v>20</v>
      </c>
      <c r="Q179">
        <v>1</v>
      </c>
    </row>
    <row r="180" spans="1:17" hidden="1" x14ac:dyDescent="0.25">
      <c r="A180">
        <v>179</v>
      </c>
      <c r="B180">
        <v>2023</v>
      </c>
      <c r="C180" s="4" t="s">
        <v>604</v>
      </c>
      <c r="D180" s="18" t="s">
        <v>313</v>
      </c>
      <c r="E180" t="s">
        <v>314</v>
      </c>
      <c r="F180" t="s">
        <v>388</v>
      </c>
      <c r="G180" t="s">
        <v>71</v>
      </c>
      <c r="H180" t="s">
        <v>55</v>
      </c>
      <c r="I180" t="s">
        <v>516</v>
      </c>
      <c r="J180" s="3">
        <v>45092</v>
      </c>
      <c r="K180" s="21">
        <v>36000</v>
      </c>
      <c r="M180" t="s">
        <v>30</v>
      </c>
      <c r="N180" t="s">
        <v>17</v>
      </c>
      <c r="O180" t="s">
        <v>20</v>
      </c>
      <c r="Q180">
        <v>1</v>
      </c>
    </row>
    <row r="181" spans="1:17" s="24" customFormat="1" hidden="1" x14ac:dyDescent="0.25">
      <c r="A181" s="24">
        <v>180</v>
      </c>
      <c r="B181" s="24">
        <v>2023</v>
      </c>
      <c r="C181" s="36" t="s">
        <v>604</v>
      </c>
      <c r="D181" s="26" t="s">
        <v>315</v>
      </c>
      <c r="E181" s="24" t="s">
        <v>316</v>
      </c>
      <c r="F181" s="24" t="s">
        <v>526</v>
      </c>
      <c r="G181" s="24" t="s">
        <v>317</v>
      </c>
      <c r="H181" s="24" t="s">
        <v>555</v>
      </c>
      <c r="I181" s="24" t="s">
        <v>318</v>
      </c>
      <c r="J181" s="25">
        <v>45078</v>
      </c>
      <c r="K181" s="27">
        <v>20000</v>
      </c>
      <c r="L181" s="27"/>
      <c r="M181" s="24" t="s">
        <v>21</v>
      </c>
      <c r="N181" s="24" t="s">
        <v>47</v>
      </c>
      <c r="O181" s="24" t="s">
        <v>18</v>
      </c>
      <c r="Q181" s="24">
        <v>1</v>
      </c>
    </row>
    <row r="182" spans="1:17" hidden="1" x14ac:dyDescent="0.25">
      <c r="A182">
        <v>181</v>
      </c>
      <c r="B182">
        <v>2023</v>
      </c>
      <c r="C182" s="4" t="s">
        <v>604</v>
      </c>
      <c r="D182" s="18" t="s">
        <v>319</v>
      </c>
      <c r="E182" t="s">
        <v>320</v>
      </c>
      <c r="F182" t="s">
        <v>526</v>
      </c>
      <c r="G182" t="s">
        <v>317</v>
      </c>
      <c r="H182" t="s">
        <v>55</v>
      </c>
      <c r="I182" t="s">
        <v>519</v>
      </c>
      <c r="J182" s="3">
        <v>45092</v>
      </c>
      <c r="K182" s="21">
        <v>25000</v>
      </c>
      <c r="M182" t="s">
        <v>30</v>
      </c>
      <c r="N182" t="s">
        <v>17</v>
      </c>
      <c r="O182" t="s">
        <v>18</v>
      </c>
      <c r="Q182">
        <v>1</v>
      </c>
    </row>
    <row r="183" spans="1:17" hidden="1" x14ac:dyDescent="0.25">
      <c r="A183">
        <v>182</v>
      </c>
      <c r="B183">
        <v>2023</v>
      </c>
      <c r="C183" s="4" t="s">
        <v>604</v>
      </c>
      <c r="D183" s="18" t="s">
        <v>321</v>
      </c>
      <c r="E183" t="s">
        <v>322</v>
      </c>
      <c r="F183" t="s">
        <v>526</v>
      </c>
      <c r="G183" t="s">
        <v>317</v>
      </c>
      <c r="H183" t="s">
        <v>55</v>
      </c>
      <c r="I183" t="s">
        <v>519</v>
      </c>
      <c r="J183" s="3">
        <v>45092</v>
      </c>
      <c r="K183" s="21">
        <v>22000</v>
      </c>
      <c r="M183" t="s">
        <v>30</v>
      </c>
      <c r="N183" t="s">
        <v>17</v>
      </c>
      <c r="O183" t="s">
        <v>18</v>
      </c>
      <c r="Q183">
        <v>1</v>
      </c>
    </row>
    <row r="184" spans="1:17" hidden="1" x14ac:dyDescent="0.25">
      <c r="A184">
        <v>183</v>
      </c>
      <c r="B184">
        <v>2023</v>
      </c>
      <c r="C184" s="4" t="s">
        <v>604</v>
      </c>
      <c r="D184" s="18" t="s">
        <v>323</v>
      </c>
      <c r="E184" t="s">
        <v>324</v>
      </c>
      <c r="F184" t="s">
        <v>657</v>
      </c>
      <c r="G184" t="s">
        <v>35</v>
      </c>
      <c r="H184" t="s">
        <v>555</v>
      </c>
      <c r="I184" t="s">
        <v>551</v>
      </c>
      <c r="J184" s="3">
        <v>45092</v>
      </c>
      <c r="K184" s="21">
        <v>30000</v>
      </c>
      <c r="M184" t="s">
        <v>21</v>
      </c>
      <c r="N184" t="s">
        <v>26</v>
      </c>
      <c r="O184" t="s">
        <v>18</v>
      </c>
      <c r="Q184">
        <v>1</v>
      </c>
    </row>
    <row r="185" spans="1:17" hidden="1" x14ac:dyDescent="0.25">
      <c r="A185">
        <v>184</v>
      </c>
      <c r="B185">
        <v>2023</v>
      </c>
      <c r="C185" s="4" t="s">
        <v>605</v>
      </c>
      <c r="D185" s="18" t="s">
        <v>325</v>
      </c>
      <c r="E185" t="s">
        <v>326</v>
      </c>
      <c r="F185" t="s">
        <v>83</v>
      </c>
      <c r="G185" s="2" t="s">
        <v>35</v>
      </c>
      <c r="H185" t="s">
        <v>555</v>
      </c>
      <c r="I185" t="s">
        <v>533</v>
      </c>
      <c r="J185" s="3">
        <v>45117</v>
      </c>
      <c r="K185" s="21">
        <v>25000</v>
      </c>
      <c r="M185" t="s">
        <v>21</v>
      </c>
      <c r="N185" t="s">
        <v>47</v>
      </c>
      <c r="O185" t="s">
        <v>18</v>
      </c>
      <c r="Q185">
        <v>1</v>
      </c>
    </row>
    <row r="186" spans="1:17" hidden="1" x14ac:dyDescent="0.25">
      <c r="A186">
        <v>185</v>
      </c>
      <c r="B186">
        <v>2023</v>
      </c>
      <c r="C186" s="4" t="s">
        <v>605</v>
      </c>
      <c r="D186" s="18" t="s">
        <v>327</v>
      </c>
      <c r="E186" t="s">
        <v>328</v>
      </c>
      <c r="F186" t="s">
        <v>83</v>
      </c>
      <c r="G186" s="2" t="s">
        <v>35</v>
      </c>
      <c r="H186" t="s">
        <v>555</v>
      </c>
      <c r="I186" t="s">
        <v>84</v>
      </c>
      <c r="J186" s="3">
        <v>45117</v>
      </c>
      <c r="K186" s="21">
        <v>15000</v>
      </c>
      <c r="M186" t="s">
        <v>21</v>
      </c>
      <c r="N186" t="s">
        <v>17</v>
      </c>
      <c r="O186" t="s">
        <v>18</v>
      </c>
      <c r="Q186">
        <v>1</v>
      </c>
    </row>
    <row r="187" spans="1:17" x14ac:dyDescent="0.25">
      <c r="A187">
        <v>186</v>
      </c>
      <c r="B187">
        <v>2023</v>
      </c>
      <c r="C187" s="4" t="s">
        <v>605</v>
      </c>
      <c r="D187" s="18" t="s">
        <v>329</v>
      </c>
      <c r="E187" t="s">
        <v>330</v>
      </c>
      <c r="F187" t="s">
        <v>45</v>
      </c>
      <c r="G187" t="s">
        <v>623</v>
      </c>
      <c r="H187" t="s">
        <v>55</v>
      </c>
      <c r="I187" t="s">
        <v>659</v>
      </c>
      <c r="J187" s="3">
        <v>45117</v>
      </c>
      <c r="K187" s="21">
        <v>25000</v>
      </c>
      <c r="M187" t="s">
        <v>30</v>
      </c>
      <c r="N187" t="s">
        <v>47</v>
      </c>
      <c r="O187" t="s">
        <v>18</v>
      </c>
      <c r="Q187">
        <v>1</v>
      </c>
    </row>
    <row r="188" spans="1:17" x14ac:dyDescent="0.25">
      <c r="A188">
        <v>187</v>
      </c>
      <c r="B188">
        <v>2023</v>
      </c>
      <c r="C188" s="4" t="s">
        <v>605</v>
      </c>
      <c r="D188" s="18" t="s">
        <v>331</v>
      </c>
      <c r="E188" t="s">
        <v>332</v>
      </c>
      <c r="F188" t="s">
        <v>45</v>
      </c>
      <c r="G188" t="s">
        <v>41</v>
      </c>
      <c r="H188" t="s">
        <v>555</v>
      </c>
      <c r="I188" t="s">
        <v>518</v>
      </c>
      <c r="J188" s="3">
        <v>45117</v>
      </c>
      <c r="K188" s="21">
        <v>30000</v>
      </c>
      <c r="M188" t="s">
        <v>58</v>
      </c>
      <c r="N188" t="s">
        <v>47</v>
      </c>
      <c r="O188" t="s">
        <v>18</v>
      </c>
      <c r="Q188">
        <v>1</v>
      </c>
    </row>
    <row r="189" spans="1:17" s="6" customFormat="1" hidden="1" x14ac:dyDescent="0.25">
      <c r="A189" s="6">
        <v>188</v>
      </c>
      <c r="B189" s="6">
        <v>2023</v>
      </c>
      <c r="C189" s="35" t="s">
        <v>605</v>
      </c>
      <c r="D189" s="19" t="s">
        <v>333</v>
      </c>
      <c r="E189" s="6" t="s">
        <v>641</v>
      </c>
      <c r="F189" s="6" t="s">
        <v>219</v>
      </c>
      <c r="G189" s="6" t="s">
        <v>592</v>
      </c>
      <c r="H189" s="6" t="s">
        <v>55</v>
      </c>
      <c r="I189" s="6" t="s">
        <v>37</v>
      </c>
      <c r="J189" s="7">
        <v>45115</v>
      </c>
      <c r="K189" s="22"/>
      <c r="L189" s="22">
        <v>2000</v>
      </c>
      <c r="M189" s="6" t="s">
        <v>334</v>
      </c>
      <c r="N189" s="6" t="s">
        <v>22</v>
      </c>
      <c r="O189" s="6" t="s">
        <v>18</v>
      </c>
      <c r="Q189" s="6">
        <v>1</v>
      </c>
    </row>
    <row r="190" spans="1:17" hidden="1" x14ac:dyDescent="0.25">
      <c r="A190">
        <v>189</v>
      </c>
      <c r="B190">
        <v>2023</v>
      </c>
      <c r="C190" s="4" t="s">
        <v>605</v>
      </c>
      <c r="D190" s="18" t="s">
        <v>335</v>
      </c>
      <c r="E190" t="s">
        <v>336</v>
      </c>
      <c r="F190" t="s">
        <v>509</v>
      </c>
      <c r="G190" t="s">
        <v>547</v>
      </c>
      <c r="H190" t="s">
        <v>555</v>
      </c>
      <c r="I190" t="s">
        <v>511</v>
      </c>
      <c r="J190" s="3">
        <v>45123</v>
      </c>
      <c r="K190" s="21">
        <v>135000</v>
      </c>
      <c r="M190" t="s">
        <v>53</v>
      </c>
      <c r="N190" t="s">
        <v>26</v>
      </c>
      <c r="O190" t="s">
        <v>18</v>
      </c>
      <c r="Q190">
        <v>1</v>
      </c>
    </row>
    <row r="191" spans="1:17" s="24" customFormat="1" x14ac:dyDescent="0.25">
      <c r="A191" s="24">
        <v>190</v>
      </c>
      <c r="B191" s="24">
        <v>2023</v>
      </c>
      <c r="C191" s="36" t="s">
        <v>605</v>
      </c>
      <c r="D191" s="26" t="s">
        <v>337</v>
      </c>
      <c r="E191" s="24" t="s">
        <v>338</v>
      </c>
      <c r="F191" s="24" t="s">
        <v>45</v>
      </c>
      <c r="G191" s="24" t="s">
        <v>505</v>
      </c>
      <c r="H191" s="24" t="s">
        <v>555</v>
      </c>
      <c r="I191" s="24" t="s">
        <v>501</v>
      </c>
      <c r="J191" s="25">
        <v>45117</v>
      </c>
      <c r="K191" s="27">
        <v>30000</v>
      </c>
      <c r="L191" s="27"/>
      <c r="M191" s="24" t="s">
        <v>21</v>
      </c>
      <c r="N191" s="24" t="s">
        <v>47</v>
      </c>
      <c r="O191" s="24" t="s">
        <v>18</v>
      </c>
      <c r="Q191" s="24">
        <v>1</v>
      </c>
    </row>
    <row r="192" spans="1:17" s="24" customFormat="1" hidden="1" x14ac:dyDescent="0.25">
      <c r="A192" s="24">
        <v>191</v>
      </c>
      <c r="B192">
        <v>2023</v>
      </c>
      <c r="C192" s="4" t="s">
        <v>605</v>
      </c>
      <c r="D192" s="26" t="s">
        <v>339</v>
      </c>
      <c r="E192" s="24" t="s">
        <v>340</v>
      </c>
      <c r="F192" s="24" t="s">
        <v>164</v>
      </c>
      <c r="G192" s="24" t="s">
        <v>541</v>
      </c>
      <c r="H192" s="24" t="s">
        <v>133</v>
      </c>
      <c r="I192" s="24" t="s">
        <v>544</v>
      </c>
      <c r="J192" s="25">
        <v>45117</v>
      </c>
      <c r="K192" s="27">
        <v>75000</v>
      </c>
      <c r="L192" s="27"/>
      <c r="M192" s="24" t="s">
        <v>16</v>
      </c>
      <c r="N192" s="24" t="s">
        <v>47</v>
      </c>
      <c r="O192" s="24" t="s">
        <v>18</v>
      </c>
      <c r="Q192" s="24">
        <v>1</v>
      </c>
    </row>
    <row r="193" spans="1:17" hidden="1" x14ac:dyDescent="0.25">
      <c r="A193">
        <v>192</v>
      </c>
      <c r="B193">
        <v>2023</v>
      </c>
      <c r="C193" s="4" t="s">
        <v>605</v>
      </c>
      <c r="D193" s="18" t="s">
        <v>341</v>
      </c>
      <c r="E193" t="s">
        <v>342</v>
      </c>
      <c r="F193" t="s">
        <v>122</v>
      </c>
      <c r="G193" t="s">
        <v>541</v>
      </c>
      <c r="H193" t="s">
        <v>555</v>
      </c>
      <c r="I193" t="s">
        <v>534</v>
      </c>
      <c r="J193" s="3">
        <v>45119</v>
      </c>
      <c r="K193" s="21">
        <v>200000</v>
      </c>
      <c r="M193" t="s">
        <v>343</v>
      </c>
      <c r="N193" t="s">
        <v>47</v>
      </c>
      <c r="O193" t="s">
        <v>18</v>
      </c>
      <c r="Q193">
        <v>1</v>
      </c>
    </row>
    <row r="194" spans="1:17" hidden="1" x14ac:dyDescent="0.25">
      <c r="A194">
        <v>193</v>
      </c>
      <c r="B194">
        <v>2023</v>
      </c>
      <c r="C194" s="4" t="s">
        <v>605</v>
      </c>
      <c r="D194" s="18" t="s">
        <v>344</v>
      </c>
      <c r="E194" t="s">
        <v>642</v>
      </c>
      <c r="F194" t="s">
        <v>122</v>
      </c>
      <c r="G194" t="s">
        <v>541</v>
      </c>
      <c r="H194" t="s">
        <v>555</v>
      </c>
      <c r="I194" t="s">
        <v>534</v>
      </c>
      <c r="J194" s="3">
        <v>45129</v>
      </c>
      <c r="K194" s="21">
        <v>200000</v>
      </c>
      <c r="M194" t="s">
        <v>21</v>
      </c>
      <c r="N194" t="s">
        <v>47</v>
      </c>
      <c r="O194" t="s">
        <v>18</v>
      </c>
      <c r="Q194">
        <v>1</v>
      </c>
    </row>
    <row r="195" spans="1:17" s="6" customFormat="1" hidden="1" x14ac:dyDescent="0.25">
      <c r="A195" s="6">
        <v>194</v>
      </c>
      <c r="B195" s="6">
        <v>2023</v>
      </c>
      <c r="C195" s="35" t="s">
        <v>605</v>
      </c>
      <c r="D195" s="19" t="s">
        <v>345</v>
      </c>
      <c r="E195" s="6" t="s">
        <v>346</v>
      </c>
      <c r="F195" s="6" t="s">
        <v>349</v>
      </c>
      <c r="G195" s="6" t="s">
        <v>713</v>
      </c>
      <c r="H195" s="6" t="s">
        <v>15</v>
      </c>
      <c r="I195" s="6" t="s">
        <v>20</v>
      </c>
      <c r="J195" s="7">
        <v>45121</v>
      </c>
      <c r="K195" s="22"/>
      <c r="L195" s="22">
        <v>4500</v>
      </c>
      <c r="M195" s="6" t="s">
        <v>343</v>
      </c>
      <c r="N195" s="6" t="s">
        <v>22</v>
      </c>
      <c r="O195" s="6" t="s">
        <v>18</v>
      </c>
      <c r="Q195" s="6">
        <v>1</v>
      </c>
    </row>
    <row r="196" spans="1:17" s="6" customFormat="1" hidden="1" x14ac:dyDescent="0.25">
      <c r="A196" s="6">
        <v>195</v>
      </c>
      <c r="B196" s="6">
        <v>2023</v>
      </c>
      <c r="C196" s="35" t="s">
        <v>605</v>
      </c>
      <c r="D196" s="19" t="s">
        <v>347</v>
      </c>
      <c r="E196" s="6" t="s">
        <v>348</v>
      </c>
      <c r="F196" s="6" t="s">
        <v>349</v>
      </c>
      <c r="G196" s="6" t="s">
        <v>713</v>
      </c>
      <c r="H196" s="6" t="s">
        <v>55</v>
      </c>
      <c r="I196" s="6" t="s">
        <v>20</v>
      </c>
      <c r="J196" s="7">
        <v>45124</v>
      </c>
      <c r="K196" s="22">
        <v>300000</v>
      </c>
      <c r="L196" s="22"/>
      <c r="M196" s="6" t="s">
        <v>100</v>
      </c>
      <c r="N196" s="6" t="s">
        <v>26</v>
      </c>
      <c r="O196" s="6" t="s">
        <v>18</v>
      </c>
      <c r="Q196" s="6">
        <v>1</v>
      </c>
    </row>
    <row r="197" spans="1:17" hidden="1" x14ac:dyDescent="0.25">
      <c r="A197">
        <v>196</v>
      </c>
      <c r="B197">
        <v>2023</v>
      </c>
      <c r="C197" s="4" t="s">
        <v>605</v>
      </c>
      <c r="D197" s="18" t="s">
        <v>350</v>
      </c>
      <c r="E197" t="s">
        <v>351</v>
      </c>
      <c r="F197" t="s">
        <v>146</v>
      </c>
      <c r="G197" t="s">
        <v>71</v>
      </c>
      <c r="H197" t="s">
        <v>55</v>
      </c>
      <c r="I197" t="s">
        <v>499</v>
      </c>
      <c r="J197" s="3">
        <v>45115</v>
      </c>
      <c r="K197" s="21">
        <v>20000</v>
      </c>
      <c r="M197" t="s">
        <v>30</v>
      </c>
      <c r="N197" t="s">
        <v>47</v>
      </c>
      <c r="O197" t="s">
        <v>18</v>
      </c>
      <c r="Q197">
        <v>1</v>
      </c>
    </row>
    <row r="198" spans="1:17" hidden="1" x14ac:dyDescent="0.25">
      <c r="A198">
        <v>197</v>
      </c>
      <c r="B198">
        <v>2023</v>
      </c>
      <c r="C198" s="4" t="s">
        <v>605</v>
      </c>
      <c r="D198" s="18" t="s">
        <v>352</v>
      </c>
      <c r="E198" t="s">
        <v>353</v>
      </c>
      <c r="F198" t="s">
        <v>70</v>
      </c>
      <c r="G198" t="s">
        <v>71</v>
      </c>
      <c r="H198" t="s">
        <v>55</v>
      </c>
      <c r="I198" t="s">
        <v>516</v>
      </c>
      <c r="J198" s="3">
        <v>45115</v>
      </c>
      <c r="K198" s="21">
        <v>55000</v>
      </c>
      <c r="M198" t="s">
        <v>30</v>
      </c>
      <c r="N198" t="s">
        <v>47</v>
      </c>
      <c r="O198" t="s">
        <v>18</v>
      </c>
      <c r="Q198">
        <v>1</v>
      </c>
    </row>
    <row r="199" spans="1:17" hidden="1" x14ac:dyDescent="0.25">
      <c r="A199">
        <v>198</v>
      </c>
      <c r="B199">
        <v>2023</v>
      </c>
      <c r="C199" s="4" t="s">
        <v>605</v>
      </c>
      <c r="D199" s="18" t="s">
        <v>350</v>
      </c>
      <c r="E199" t="s">
        <v>643</v>
      </c>
      <c r="F199" t="s">
        <v>146</v>
      </c>
      <c r="G199" t="s">
        <v>71</v>
      </c>
      <c r="H199" t="s">
        <v>55</v>
      </c>
      <c r="I199" t="s">
        <v>499</v>
      </c>
      <c r="J199" s="3">
        <v>45115</v>
      </c>
      <c r="K199" s="21">
        <v>20000</v>
      </c>
      <c r="M199" t="s">
        <v>30</v>
      </c>
      <c r="N199" t="s">
        <v>47</v>
      </c>
      <c r="O199" t="s">
        <v>18</v>
      </c>
      <c r="Q199">
        <v>1</v>
      </c>
    </row>
    <row r="200" spans="1:17" hidden="1" x14ac:dyDescent="0.25">
      <c r="A200">
        <v>199</v>
      </c>
      <c r="B200">
        <v>2023</v>
      </c>
      <c r="C200" s="4" t="s">
        <v>605</v>
      </c>
      <c r="D200" s="18" t="s">
        <v>583</v>
      </c>
      <c r="E200" t="s">
        <v>354</v>
      </c>
      <c r="F200" t="s">
        <v>146</v>
      </c>
      <c r="G200" t="s">
        <v>71</v>
      </c>
      <c r="H200" t="s">
        <v>555</v>
      </c>
      <c r="I200" t="s">
        <v>561</v>
      </c>
      <c r="J200" s="3">
        <v>45126</v>
      </c>
      <c r="K200" s="21">
        <v>20000</v>
      </c>
      <c r="M200" t="s">
        <v>30</v>
      </c>
      <c r="N200" t="s">
        <v>47</v>
      </c>
      <c r="O200" t="s">
        <v>18</v>
      </c>
      <c r="Q200">
        <v>1</v>
      </c>
    </row>
    <row r="201" spans="1:17" s="24" customFormat="1" x14ac:dyDescent="0.25">
      <c r="A201" s="24">
        <v>200</v>
      </c>
      <c r="B201" s="24">
        <v>2023</v>
      </c>
      <c r="C201" s="36" t="s">
        <v>605</v>
      </c>
      <c r="D201" s="26" t="s">
        <v>355</v>
      </c>
      <c r="E201" s="24" t="s">
        <v>356</v>
      </c>
      <c r="F201" s="24" t="s">
        <v>45</v>
      </c>
      <c r="G201" s="24" t="s">
        <v>317</v>
      </c>
      <c r="H201" s="24" t="s">
        <v>555</v>
      </c>
      <c r="I201" s="24" t="s">
        <v>318</v>
      </c>
      <c r="J201" s="25">
        <v>45117</v>
      </c>
      <c r="K201" s="27">
        <v>25000</v>
      </c>
      <c r="L201" s="27"/>
      <c r="M201" s="24" t="s">
        <v>21</v>
      </c>
      <c r="N201" s="24" t="s">
        <v>17</v>
      </c>
      <c r="O201" s="24" t="s">
        <v>18</v>
      </c>
      <c r="Q201" s="24">
        <v>1</v>
      </c>
    </row>
    <row r="202" spans="1:17" x14ac:dyDescent="0.25">
      <c r="A202">
        <v>201</v>
      </c>
      <c r="B202">
        <v>2023</v>
      </c>
      <c r="C202" s="4" t="s">
        <v>605</v>
      </c>
      <c r="D202" s="18" t="s">
        <v>357</v>
      </c>
      <c r="E202" t="s">
        <v>644</v>
      </c>
      <c r="F202" t="s">
        <v>45</v>
      </c>
      <c r="G202" t="s">
        <v>317</v>
      </c>
      <c r="H202" t="s">
        <v>555</v>
      </c>
      <c r="I202" t="s">
        <v>318</v>
      </c>
      <c r="J202" s="3">
        <v>45117</v>
      </c>
      <c r="K202" s="21">
        <v>35000</v>
      </c>
      <c r="M202" t="s">
        <v>21</v>
      </c>
      <c r="N202" t="s">
        <v>17</v>
      </c>
      <c r="O202" t="s">
        <v>18</v>
      </c>
      <c r="Q202">
        <v>1</v>
      </c>
    </row>
    <row r="203" spans="1:17" s="6" customFormat="1" x14ac:dyDescent="0.25">
      <c r="A203" s="6">
        <v>202</v>
      </c>
      <c r="B203" s="6">
        <v>2023</v>
      </c>
      <c r="C203" s="35" t="s">
        <v>605</v>
      </c>
      <c r="D203" s="19" t="s">
        <v>358</v>
      </c>
      <c r="E203" s="6" t="s">
        <v>359</v>
      </c>
      <c r="F203" s="6" t="s">
        <v>45</v>
      </c>
      <c r="G203" s="6" t="s">
        <v>506</v>
      </c>
      <c r="H203" s="6" t="s">
        <v>555</v>
      </c>
      <c r="I203" s="6" t="s">
        <v>517</v>
      </c>
      <c r="J203" s="7">
        <v>45126</v>
      </c>
      <c r="K203" s="22">
        <v>25000</v>
      </c>
      <c r="L203" s="22"/>
      <c r="M203" s="6" t="s">
        <v>21</v>
      </c>
      <c r="N203" s="6" t="s">
        <v>47</v>
      </c>
      <c r="O203" s="6" t="s">
        <v>18</v>
      </c>
      <c r="Q203" s="6">
        <v>1</v>
      </c>
    </row>
    <row r="204" spans="1:17" s="6" customFormat="1" hidden="1" x14ac:dyDescent="0.25">
      <c r="A204" s="6">
        <v>203</v>
      </c>
      <c r="B204" s="6">
        <v>2023</v>
      </c>
      <c r="C204" s="35" t="s">
        <v>605</v>
      </c>
      <c r="D204" s="19" t="s">
        <v>360</v>
      </c>
      <c r="E204" s="6" t="s">
        <v>361</v>
      </c>
      <c r="F204" s="6" t="s">
        <v>122</v>
      </c>
      <c r="G204" s="6" t="s">
        <v>425</v>
      </c>
      <c r="H204" s="6" t="s">
        <v>15</v>
      </c>
      <c r="I204" s="6" t="s">
        <v>556</v>
      </c>
      <c r="J204" s="7">
        <v>45123</v>
      </c>
      <c r="K204" s="22">
        <v>382628</v>
      </c>
      <c r="L204" s="22"/>
      <c r="M204" s="6" t="s">
        <v>16</v>
      </c>
      <c r="N204" s="6" t="s">
        <v>47</v>
      </c>
      <c r="O204" s="6" t="s">
        <v>18</v>
      </c>
      <c r="Q204" s="6">
        <v>1</v>
      </c>
    </row>
    <row r="205" spans="1:17" hidden="1" x14ac:dyDescent="0.25">
      <c r="A205">
        <v>204</v>
      </c>
      <c r="B205">
        <v>2023</v>
      </c>
      <c r="C205" s="4" t="s">
        <v>605</v>
      </c>
      <c r="D205" s="18" t="s">
        <v>362</v>
      </c>
      <c r="E205" t="s">
        <v>622</v>
      </c>
      <c r="F205" t="s">
        <v>122</v>
      </c>
      <c r="G205" t="s">
        <v>425</v>
      </c>
      <c r="H205" t="s">
        <v>15</v>
      </c>
      <c r="I205" t="s">
        <v>20</v>
      </c>
      <c r="J205" s="3">
        <v>45115</v>
      </c>
      <c r="L205" s="21">
        <v>5000</v>
      </c>
      <c r="M205" t="s">
        <v>78</v>
      </c>
      <c r="N205" t="s">
        <v>22</v>
      </c>
      <c r="O205" t="s">
        <v>18</v>
      </c>
      <c r="Q205">
        <v>1</v>
      </c>
    </row>
    <row r="206" spans="1:17" hidden="1" x14ac:dyDescent="0.25">
      <c r="A206">
        <v>205</v>
      </c>
      <c r="B206">
        <v>2023</v>
      </c>
      <c r="C206" s="4" t="s">
        <v>606</v>
      </c>
      <c r="D206" s="18" t="s">
        <v>363</v>
      </c>
      <c r="E206" t="s">
        <v>364</v>
      </c>
      <c r="F206" t="s">
        <v>365</v>
      </c>
      <c r="G206" t="s">
        <v>41</v>
      </c>
      <c r="H206" t="s">
        <v>555</v>
      </c>
      <c r="I206" t="s">
        <v>518</v>
      </c>
      <c r="J206" s="3">
        <v>45154</v>
      </c>
      <c r="K206" s="21">
        <v>11000</v>
      </c>
      <c r="M206" t="s">
        <v>53</v>
      </c>
      <c r="N206" t="s">
        <v>47</v>
      </c>
      <c r="O206" t="s">
        <v>366</v>
      </c>
      <c r="Q206">
        <v>1</v>
      </c>
    </row>
    <row r="207" spans="1:17" hidden="1" x14ac:dyDescent="0.25">
      <c r="A207">
        <v>206</v>
      </c>
      <c r="B207">
        <v>2023</v>
      </c>
      <c r="C207" s="4" t="s">
        <v>606</v>
      </c>
      <c r="D207" s="18" t="s">
        <v>367</v>
      </c>
      <c r="E207" t="s">
        <v>368</v>
      </c>
      <c r="F207" t="s">
        <v>536</v>
      </c>
      <c r="G207" t="s">
        <v>99</v>
      </c>
      <c r="H207" t="s">
        <v>555</v>
      </c>
      <c r="I207" t="s">
        <v>662</v>
      </c>
      <c r="J207" s="3">
        <v>45154</v>
      </c>
      <c r="K207" s="21">
        <v>38000</v>
      </c>
      <c r="M207" t="s">
        <v>30</v>
      </c>
      <c r="N207" t="s">
        <v>17</v>
      </c>
      <c r="O207" t="s">
        <v>366</v>
      </c>
      <c r="Q207">
        <v>1</v>
      </c>
    </row>
    <row r="208" spans="1:17" hidden="1" x14ac:dyDescent="0.25">
      <c r="A208">
        <v>207</v>
      </c>
      <c r="B208">
        <v>2023</v>
      </c>
      <c r="C208" s="4" t="s">
        <v>606</v>
      </c>
      <c r="D208" s="18" t="s">
        <v>369</v>
      </c>
      <c r="E208" t="s">
        <v>370</v>
      </c>
      <c r="F208" t="s">
        <v>524</v>
      </c>
      <c r="G208" t="s">
        <v>547</v>
      </c>
      <c r="H208" t="s">
        <v>555</v>
      </c>
      <c r="I208" t="s">
        <v>511</v>
      </c>
      <c r="J208" s="3">
        <v>45154</v>
      </c>
      <c r="K208" s="21">
        <v>45000</v>
      </c>
      <c r="M208" t="s">
        <v>21</v>
      </c>
      <c r="N208" t="s">
        <v>26</v>
      </c>
      <c r="O208" t="s">
        <v>366</v>
      </c>
      <c r="Q208">
        <v>1</v>
      </c>
    </row>
    <row r="209" spans="1:17" hidden="1" x14ac:dyDescent="0.25">
      <c r="A209">
        <v>208</v>
      </c>
      <c r="B209">
        <v>2023</v>
      </c>
      <c r="C209" s="4" t="s">
        <v>606</v>
      </c>
      <c r="D209" s="18" t="s">
        <v>371</v>
      </c>
      <c r="E209" t="s">
        <v>372</v>
      </c>
      <c r="F209" t="s">
        <v>524</v>
      </c>
      <c r="G209" t="s">
        <v>541</v>
      </c>
      <c r="H209" t="s">
        <v>55</v>
      </c>
      <c r="I209" t="s">
        <v>544</v>
      </c>
      <c r="J209" s="3">
        <v>45139</v>
      </c>
      <c r="K209" s="21">
        <v>34000</v>
      </c>
      <c r="M209" t="s">
        <v>100</v>
      </c>
      <c r="N209" t="s">
        <v>47</v>
      </c>
      <c r="O209" t="s">
        <v>366</v>
      </c>
      <c r="Q209">
        <v>1</v>
      </c>
    </row>
    <row r="210" spans="1:17" x14ac:dyDescent="0.25">
      <c r="A210">
        <v>209</v>
      </c>
      <c r="B210">
        <v>2023</v>
      </c>
      <c r="C210" s="4" t="s">
        <v>606</v>
      </c>
      <c r="D210" s="18" t="s">
        <v>373</v>
      </c>
      <c r="E210" t="s">
        <v>374</v>
      </c>
      <c r="F210" t="s">
        <v>45</v>
      </c>
      <c r="G210" t="s">
        <v>541</v>
      </c>
      <c r="H210" t="s">
        <v>55</v>
      </c>
      <c r="I210" t="s">
        <v>544</v>
      </c>
      <c r="J210" s="3">
        <v>45154</v>
      </c>
      <c r="K210" s="21">
        <v>28000</v>
      </c>
      <c r="M210" t="s">
        <v>30</v>
      </c>
      <c r="N210" t="s">
        <v>17</v>
      </c>
      <c r="O210" t="s">
        <v>366</v>
      </c>
      <c r="Q210">
        <v>1</v>
      </c>
    </row>
    <row r="211" spans="1:17" x14ac:dyDescent="0.25">
      <c r="A211" s="13">
        <v>210</v>
      </c>
      <c r="B211">
        <v>2023</v>
      </c>
      <c r="C211" s="4" t="s">
        <v>606</v>
      </c>
      <c r="D211" s="18" t="s">
        <v>375</v>
      </c>
      <c r="E211" t="s">
        <v>376</v>
      </c>
      <c r="F211" t="s">
        <v>45</v>
      </c>
      <c r="G211" t="s">
        <v>541</v>
      </c>
      <c r="H211" t="s">
        <v>57</v>
      </c>
      <c r="I211" t="s">
        <v>543</v>
      </c>
      <c r="J211" s="3">
        <v>45154</v>
      </c>
      <c r="K211" s="21">
        <v>25000</v>
      </c>
      <c r="M211" t="s">
        <v>53</v>
      </c>
      <c r="N211" t="s">
        <v>47</v>
      </c>
      <c r="O211" t="s">
        <v>366</v>
      </c>
      <c r="Q211">
        <v>1</v>
      </c>
    </row>
    <row r="212" spans="1:17" hidden="1" x14ac:dyDescent="0.25">
      <c r="A212">
        <v>211</v>
      </c>
      <c r="B212">
        <v>2023</v>
      </c>
      <c r="C212" s="4" t="s">
        <v>606</v>
      </c>
      <c r="D212" s="18" t="s">
        <v>377</v>
      </c>
      <c r="E212" t="s">
        <v>378</v>
      </c>
      <c r="F212" t="s">
        <v>526</v>
      </c>
      <c r="G212" t="s">
        <v>541</v>
      </c>
      <c r="H212" t="s">
        <v>15</v>
      </c>
      <c r="I212" t="s">
        <v>546</v>
      </c>
      <c r="J212" s="3">
        <v>45154</v>
      </c>
      <c r="K212" s="21">
        <v>18000</v>
      </c>
      <c r="M212" t="s">
        <v>38</v>
      </c>
      <c r="N212" t="s">
        <v>47</v>
      </c>
      <c r="O212" t="s">
        <v>366</v>
      </c>
      <c r="Q212">
        <v>1</v>
      </c>
    </row>
    <row r="213" spans="1:17" hidden="1" x14ac:dyDescent="0.25">
      <c r="A213">
        <v>212</v>
      </c>
      <c r="B213">
        <v>2023</v>
      </c>
      <c r="C213" s="4" t="s">
        <v>606</v>
      </c>
      <c r="D213" s="18" t="s">
        <v>379</v>
      </c>
      <c r="E213" t="s">
        <v>380</v>
      </c>
      <c r="F213" t="s">
        <v>122</v>
      </c>
      <c r="G213" t="s">
        <v>623</v>
      </c>
      <c r="H213" t="s">
        <v>555</v>
      </c>
      <c r="I213" t="s">
        <v>553</v>
      </c>
      <c r="J213" s="3">
        <v>45154</v>
      </c>
      <c r="K213" s="21">
        <v>300000</v>
      </c>
      <c r="M213" t="s">
        <v>16</v>
      </c>
      <c r="N213" t="s">
        <v>26</v>
      </c>
      <c r="O213" t="s">
        <v>366</v>
      </c>
      <c r="Q213">
        <v>1</v>
      </c>
    </row>
    <row r="214" spans="1:17" hidden="1" x14ac:dyDescent="0.25">
      <c r="A214">
        <v>213</v>
      </c>
      <c r="B214">
        <v>2023</v>
      </c>
      <c r="C214" s="4" t="s">
        <v>606</v>
      </c>
      <c r="D214" s="18" t="s">
        <v>381</v>
      </c>
      <c r="E214" t="s">
        <v>382</v>
      </c>
      <c r="F214" t="s">
        <v>537</v>
      </c>
      <c r="G214" t="s">
        <v>549</v>
      </c>
      <c r="H214" t="s">
        <v>555</v>
      </c>
      <c r="I214" t="s">
        <v>550</v>
      </c>
      <c r="J214" s="3">
        <v>45139</v>
      </c>
      <c r="K214" s="21">
        <v>25000</v>
      </c>
      <c r="M214" t="s">
        <v>21</v>
      </c>
      <c r="N214" t="s">
        <v>47</v>
      </c>
      <c r="O214" t="s">
        <v>366</v>
      </c>
      <c r="Q214">
        <v>1</v>
      </c>
    </row>
    <row r="215" spans="1:17" hidden="1" x14ac:dyDescent="0.25">
      <c r="A215">
        <v>214</v>
      </c>
      <c r="B215">
        <v>2023</v>
      </c>
      <c r="C215" s="4" t="s">
        <v>606</v>
      </c>
      <c r="D215" s="18" t="s">
        <v>383</v>
      </c>
      <c r="E215" t="s">
        <v>384</v>
      </c>
      <c r="F215" t="s">
        <v>538</v>
      </c>
      <c r="G215" t="s">
        <v>549</v>
      </c>
      <c r="H215" t="s">
        <v>555</v>
      </c>
      <c r="I215" t="s">
        <v>20</v>
      </c>
      <c r="J215" s="3">
        <v>45139</v>
      </c>
      <c r="K215" s="21">
        <v>325000</v>
      </c>
      <c r="M215" t="s">
        <v>21</v>
      </c>
      <c r="N215" t="s">
        <v>26</v>
      </c>
      <c r="O215" t="s">
        <v>366</v>
      </c>
      <c r="Q215">
        <v>1</v>
      </c>
    </row>
    <row r="216" spans="1:17" s="24" customFormat="1" hidden="1" x14ac:dyDescent="0.25">
      <c r="A216" s="24">
        <v>215</v>
      </c>
      <c r="B216">
        <v>2023</v>
      </c>
      <c r="C216" s="4" t="s">
        <v>606</v>
      </c>
      <c r="D216" s="26" t="s">
        <v>385</v>
      </c>
      <c r="E216" s="24" t="s">
        <v>386</v>
      </c>
      <c r="F216" s="24" t="s">
        <v>122</v>
      </c>
      <c r="G216" s="24" t="s">
        <v>71</v>
      </c>
      <c r="H216" s="24" t="s">
        <v>15</v>
      </c>
      <c r="I216" s="24" t="s">
        <v>20</v>
      </c>
      <c r="J216" s="25">
        <v>45136</v>
      </c>
      <c r="K216" s="27"/>
      <c r="L216" s="27">
        <v>3500</v>
      </c>
      <c r="M216" s="24" t="s">
        <v>16</v>
      </c>
      <c r="N216" s="24" t="s">
        <v>22</v>
      </c>
      <c r="O216" s="24" t="s">
        <v>366</v>
      </c>
      <c r="Q216" s="24">
        <v>1</v>
      </c>
    </row>
    <row r="217" spans="1:17" hidden="1" x14ac:dyDescent="0.25">
      <c r="A217">
        <v>216</v>
      </c>
      <c r="B217">
        <v>2023</v>
      </c>
      <c r="C217" s="4" t="s">
        <v>606</v>
      </c>
      <c r="D217" s="18" t="s">
        <v>387</v>
      </c>
      <c r="E217" t="s">
        <v>645</v>
      </c>
      <c r="F217" t="s">
        <v>388</v>
      </c>
      <c r="G217" t="s">
        <v>71</v>
      </c>
      <c r="H217" t="s">
        <v>55</v>
      </c>
      <c r="I217" t="s">
        <v>499</v>
      </c>
      <c r="J217" s="3">
        <v>45154</v>
      </c>
      <c r="K217" s="21">
        <v>48000</v>
      </c>
      <c r="M217" t="s">
        <v>30</v>
      </c>
      <c r="N217" t="s">
        <v>47</v>
      </c>
      <c r="O217" t="s">
        <v>366</v>
      </c>
      <c r="Q217">
        <v>1</v>
      </c>
    </row>
    <row r="218" spans="1:17" hidden="1" x14ac:dyDescent="0.25">
      <c r="A218">
        <v>217</v>
      </c>
      <c r="B218">
        <v>2023</v>
      </c>
      <c r="C218" s="4" t="s">
        <v>606</v>
      </c>
      <c r="D218" s="18" t="s">
        <v>389</v>
      </c>
      <c r="E218" t="s">
        <v>390</v>
      </c>
      <c r="F218" t="s">
        <v>70</v>
      </c>
      <c r="G218" t="s">
        <v>71</v>
      </c>
      <c r="H218" t="s">
        <v>55</v>
      </c>
      <c r="I218" t="s">
        <v>499</v>
      </c>
      <c r="J218" s="3">
        <v>45154</v>
      </c>
      <c r="K218" s="21">
        <v>62000</v>
      </c>
      <c r="M218" t="s">
        <v>30</v>
      </c>
      <c r="N218" t="s">
        <v>17</v>
      </c>
      <c r="O218" t="s">
        <v>366</v>
      </c>
      <c r="Q218">
        <v>1</v>
      </c>
    </row>
    <row r="219" spans="1:17" hidden="1" x14ac:dyDescent="0.25">
      <c r="A219">
        <v>218</v>
      </c>
      <c r="B219">
        <v>2023</v>
      </c>
      <c r="C219" s="4" t="s">
        <v>606</v>
      </c>
      <c r="D219" s="18" t="s">
        <v>391</v>
      </c>
      <c r="E219" t="s">
        <v>392</v>
      </c>
      <c r="F219" t="s">
        <v>520</v>
      </c>
      <c r="G219" t="s">
        <v>71</v>
      </c>
      <c r="H219" t="s">
        <v>55</v>
      </c>
      <c r="I219" t="s">
        <v>499</v>
      </c>
      <c r="J219" s="3">
        <v>45145</v>
      </c>
      <c r="K219" s="21">
        <v>68000</v>
      </c>
      <c r="M219" t="s">
        <v>16</v>
      </c>
      <c r="N219" t="s">
        <v>47</v>
      </c>
      <c r="O219" t="s">
        <v>366</v>
      </c>
      <c r="Q219">
        <v>1</v>
      </c>
    </row>
    <row r="220" spans="1:17" hidden="1" x14ac:dyDescent="0.25">
      <c r="A220">
        <v>219</v>
      </c>
      <c r="B220">
        <v>2023</v>
      </c>
      <c r="C220" s="4" t="s">
        <v>606</v>
      </c>
      <c r="D220" s="18" t="s">
        <v>393</v>
      </c>
      <c r="E220" t="s">
        <v>394</v>
      </c>
      <c r="F220" t="s">
        <v>146</v>
      </c>
      <c r="G220" t="s">
        <v>71</v>
      </c>
      <c r="H220" t="s">
        <v>55</v>
      </c>
      <c r="I220" t="s">
        <v>499</v>
      </c>
      <c r="J220" s="3">
        <v>45154</v>
      </c>
      <c r="K220" s="21">
        <v>20000</v>
      </c>
      <c r="M220" t="s">
        <v>30</v>
      </c>
      <c r="N220" t="s">
        <v>47</v>
      </c>
      <c r="O220" t="s">
        <v>366</v>
      </c>
      <c r="Q220">
        <v>1</v>
      </c>
    </row>
    <row r="221" spans="1:17" hidden="1" x14ac:dyDescent="0.25">
      <c r="A221" s="13">
        <v>220</v>
      </c>
      <c r="B221">
        <v>2023</v>
      </c>
      <c r="C221" s="4" t="s">
        <v>606</v>
      </c>
      <c r="D221" s="18" t="s">
        <v>395</v>
      </c>
      <c r="E221" t="s">
        <v>646</v>
      </c>
      <c r="F221" t="s">
        <v>146</v>
      </c>
      <c r="G221" t="s">
        <v>71</v>
      </c>
      <c r="H221" t="s">
        <v>55</v>
      </c>
      <c r="I221" t="s">
        <v>499</v>
      </c>
      <c r="J221" s="3">
        <v>45154</v>
      </c>
      <c r="K221" s="21">
        <v>20000</v>
      </c>
      <c r="M221" t="s">
        <v>30</v>
      </c>
      <c r="N221" t="s">
        <v>47</v>
      </c>
      <c r="O221" t="s">
        <v>366</v>
      </c>
      <c r="Q221">
        <v>1</v>
      </c>
    </row>
    <row r="222" spans="1:17" hidden="1" x14ac:dyDescent="0.25">
      <c r="A222">
        <v>221</v>
      </c>
      <c r="B222">
        <v>2023</v>
      </c>
      <c r="C222" s="4" t="s">
        <v>606</v>
      </c>
      <c r="D222" s="18" t="s">
        <v>396</v>
      </c>
      <c r="E222" t="s">
        <v>397</v>
      </c>
      <c r="F222" t="s">
        <v>146</v>
      </c>
      <c r="G222" t="s">
        <v>71</v>
      </c>
      <c r="H222" t="s">
        <v>555</v>
      </c>
      <c r="I222" t="s">
        <v>561</v>
      </c>
      <c r="J222" s="3">
        <v>45154</v>
      </c>
      <c r="K222" s="21">
        <v>20000</v>
      </c>
      <c r="M222" t="s">
        <v>21</v>
      </c>
      <c r="N222" t="s">
        <v>47</v>
      </c>
      <c r="O222" t="s">
        <v>366</v>
      </c>
      <c r="Q222">
        <v>1</v>
      </c>
    </row>
    <row r="223" spans="1:17" hidden="1" x14ac:dyDescent="0.25">
      <c r="A223">
        <v>222</v>
      </c>
      <c r="B223">
        <v>2023</v>
      </c>
      <c r="C223" s="4" t="s">
        <v>606</v>
      </c>
      <c r="D223" s="18" t="s">
        <v>398</v>
      </c>
      <c r="E223" t="s">
        <v>647</v>
      </c>
      <c r="F223" t="s">
        <v>146</v>
      </c>
      <c r="G223" t="s">
        <v>71</v>
      </c>
      <c r="H223" t="s">
        <v>555</v>
      </c>
      <c r="I223" t="s">
        <v>561</v>
      </c>
      <c r="J223" s="3">
        <v>45154</v>
      </c>
      <c r="K223" s="21">
        <v>20000</v>
      </c>
      <c r="M223" t="s">
        <v>30</v>
      </c>
      <c r="N223" t="s">
        <v>47</v>
      </c>
      <c r="O223" t="s">
        <v>366</v>
      </c>
      <c r="Q223">
        <v>1</v>
      </c>
    </row>
    <row r="224" spans="1:17" hidden="1" x14ac:dyDescent="0.25">
      <c r="A224">
        <v>223</v>
      </c>
      <c r="B224">
        <v>2023</v>
      </c>
      <c r="C224" s="4" t="s">
        <v>606</v>
      </c>
      <c r="D224" s="18" t="s">
        <v>399</v>
      </c>
      <c r="E224" t="s">
        <v>648</v>
      </c>
      <c r="F224" t="s">
        <v>146</v>
      </c>
      <c r="G224" t="s">
        <v>71</v>
      </c>
      <c r="H224" t="s">
        <v>555</v>
      </c>
      <c r="I224" t="s">
        <v>561</v>
      </c>
      <c r="J224" s="3">
        <v>45154</v>
      </c>
      <c r="K224" s="21">
        <v>20000</v>
      </c>
      <c r="M224" t="s">
        <v>38</v>
      </c>
      <c r="N224" t="s">
        <v>47</v>
      </c>
      <c r="O224" t="s">
        <v>366</v>
      </c>
      <c r="Q224">
        <v>1</v>
      </c>
    </row>
    <row r="225" spans="1:17" x14ac:dyDescent="0.25">
      <c r="A225">
        <v>224</v>
      </c>
      <c r="B225">
        <v>2023</v>
      </c>
      <c r="C225" s="4" t="s">
        <v>606</v>
      </c>
      <c r="D225" s="18" t="s">
        <v>400</v>
      </c>
      <c r="E225" t="s">
        <v>401</v>
      </c>
      <c r="F225" t="s">
        <v>45</v>
      </c>
      <c r="G225" s="6" t="s">
        <v>506</v>
      </c>
      <c r="H225" t="s">
        <v>555</v>
      </c>
      <c r="I225" t="s">
        <v>517</v>
      </c>
      <c r="J225" s="3">
        <v>45158</v>
      </c>
      <c r="K225" s="21">
        <v>20000</v>
      </c>
      <c r="M225" t="s">
        <v>21</v>
      </c>
      <c r="N225" t="s">
        <v>47</v>
      </c>
      <c r="O225" t="s">
        <v>366</v>
      </c>
      <c r="Q225">
        <v>1</v>
      </c>
    </row>
    <row r="226" spans="1:17" hidden="1" x14ac:dyDescent="0.25">
      <c r="A226">
        <v>225</v>
      </c>
      <c r="B226">
        <v>2023</v>
      </c>
      <c r="C226" s="4" t="s">
        <v>606</v>
      </c>
      <c r="D226" s="18" t="s">
        <v>402</v>
      </c>
      <c r="E226" t="s">
        <v>403</v>
      </c>
      <c r="F226" t="s">
        <v>122</v>
      </c>
      <c r="G226" t="s">
        <v>14</v>
      </c>
      <c r="H226" t="s">
        <v>15</v>
      </c>
      <c r="I226" t="s">
        <v>564</v>
      </c>
      <c r="J226" s="3">
        <v>45159</v>
      </c>
      <c r="K226" s="21">
        <v>170000</v>
      </c>
      <c r="M226" t="s">
        <v>38</v>
      </c>
      <c r="N226" t="s">
        <v>47</v>
      </c>
      <c r="O226" t="s">
        <v>366</v>
      </c>
      <c r="Q226">
        <v>1</v>
      </c>
    </row>
    <row r="227" spans="1:17" hidden="1" x14ac:dyDescent="0.25">
      <c r="A227">
        <v>226</v>
      </c>
      <c r="B227">
        <v>2023</v>
      </c>
      <c r="C227" s="4" t="s">
        <v>606</v>
      </c>
      <c r="D227" s="18" t="s">
        <v>404</v>
      </c>
      <c r="E227" t="s">
        <v>405</v>
      </c>
      <c r="F227" t="s">
        <v>122</v>
      </c>
      <c r="G227" t="s">
        <v>425</v>
      </c>
      <c r="H227" t="s">
        <v>15</v>
      </c>
      <c r="I227" t="s">
        <v>20</v>
      </c>
      <c r="J227" s="3">
        <v>45143</v>
      </c>
      <c r="L227" s="21">
        <v>2500</v>
      </c>
      <c r="M227" t="s">
        <v>21</v>
      </c>
      <c r="N227" t="s">
        <v>22</v>
      </c>
      <c r="O227" t="s">
        <v>366</v>
      </c>
      <c r="Q227">
        <v>1</v>
      </c>
    </row>
    <row r="228" spans="1:17" hidden="1" x14ac:dyDescent="0.25">
      <c r="A228">
        <v>227</v>
      </c>
      <c r="B228">
        <v>2023</v>
      </c>
      <c r="C228" s="4" t="s">
        <v>606</v>
      </c>
      <c r="D228" s="18" t="s">
        <v>406</v>
      </c>
      <c r="E228" t="s">
        <v>407</v>
      </c>
      <c r="F228" t="s">
        <v>663</v>
      </c>
      <c r="G228" t="s">
        <v>425</v>
      </c>
      <c r="H228" t="s">
        <v>15</v>
      </c>
      <c r="I228" t="s">
        <v>20</v>
      </c>
      <c r="J228" s="3">
        <v>45144</v>
      </c>
      <c r="L228" s="21">
        <v>3500</v>
      </c>
      <c r="M228" t="s">
        <v>21</v>
      </c>
      <c r="N228" t="s">
        <v>22</v>
      </c>
      <c r="O228" t="s">
        <v>366</v>
      </c>
      <c r="Q228">
        <v>1</v>
      </c>
    </row>
    <row r="229" spans="1:17" hidden="1" x14ac:dyDescent="0.25">
      <c r="A229">
        <v>228</v>
      </c>
      <c r="B229">
        <v>2023</v>
      </c>
      <c r="C229" s="4" t="s">
        <v>606</v>
      </c>
      <c r="D229" s="18" t="s">
        <v>408</v>
      </c>
      <c r="E229" t="s">
        <v>649</v>
      </c>
      <c r="F229" t="s">
        <v>654</v>
      </c>
      <c r="G229" t="s">
        <v>35</v>
      </c>
      <c r="H229" t="s">
        <v>409</v>
      </c>
      <c r="I229" t="s">
        <v>503</v>
      </c>
      <c r="J229" s="3">
        <v>45126</v>
      </c>
      <c r="K229" s="21">
        <v>10775</v>
      </c>
      <c r="M229" t="s">
        <v>197</v>
      </c>
      <c r="N229" t="s">
        <v>47</v>
      </c>
      <c r="O229" t="s">
        <v>366</v>
      </c>
      <c r="Q229">
        <v>1</v>
      </c>
    </row>
    <row r="230" spans="1:17" hidden="1" x14ac:dyDescent="0.25">
      <c r="A230">
        <v>229</v>
      </c>
      <c r="B230">
        <v>2023</v>
      </c>
      <c r="C230" s="4" t="s">
        <v>606</v>
      </c>
      <c r="D230" s="18" t="s">
        <v>410</v>
      </c>
      <c r="E230" t="s">
        <v>411</v>
      </c>
      <c r="F230" t="s">
        <v>654</v>
      </c>
      <c r="G230" t="s">
        <v>35</v>
      </c>
      <c r="H230" t="s">
        <v>409</v>
      </c>
      <c r="I230" t="s">
        <v>503</v>
      </c>
      <c r="J230" s="3">
        <v>45126</v>
      </c>
      <c r="K230" s="21">
        <v>10775</v>
      </c>
      <c r="M230" t="s">
        <v>197</v>
      </c>
      <c r="N230" t="s">
        <v>47</v>
      </c>
      <c r="O230" t="s">
        <v>366</v>
      </c>
      <c r="Q230">
        <v>1</v>
      </c>
    </row>
    <row r="231" spans="1:17" hidden="1" x14ac:dyDescent="0.25">
      <c r="A231" s="13">
        <v>230</v>
      </c>
      <c r="B231">
        <v>2023</v>
      </c>
      <c r="C231" s="4" t="s">
        <v>606</v>
      </c>
      <c r="D231" s="18" t="s">
        <v>412</v>
      </c>
      <c r="E231" t="s">
        <v>413</v>
      </c>
      <c r="F231" t="s">
        <v>655</v>
      </c>
      <c r="G231" t="s">
        <v>35</v>
      </c>
      <c r="H231" t="s">
        <v>555</v>
      </c>
      <c r="I231" t="s">
        <v>503</v>
      </c>
      <c r="J231" s="3">
        <v>45139</v>
      </c>
      <c r="K231" s="21">
        <v>10775</v>
      </c>
      <c r="M231" t="s">
        <v>78</v>
      </c>
      <c r="N231" t="s">
        <v>47</v>
      </c>
      <c r="O231" t="s">
        <v>366</v>
      </c>
      <c r="Q231">
        <v>1</v>
      </c>
    </row>
    <row r="232" spans="1:17" hidden="1" x14ac:dyDescent="0.25">
      <c r="A232">
        <v>231</v>
      </c>
      <c r="B232">
        <v>2023</v>
      </c>
      <c r="C232" s="4" t="s">
        <v>606</v>
      </c>
      <c r="D232" s="18" t="s">
        <v>414</v>
      </c>
      <c r="E232" t="s">
        <v>415</v>
      </c>
      <c r="F232" t="s">
        <v>654</v>
      </c>
      <c r="G232" t="s">
        <v>35</v>
      </c>
      <c r="H232" t="s">
        <v>409</v>
      </c>
      <c r="I232" t="s">
        <v>503</v>
      </c>
      <c r="J232" s="3">
        <v>45143</v>
      </c>
      <c r="K232" s="21">
        <v>10775</v>
      </c>
      <c r="M232" t="s">
        <v>409</v>
      </c>
      <c r="N232" t="s">
        <v>47</v>
      </c>
      <c r="O232" t="s">
        <v>366</v>
      </c>
      <c r="Q232">
        <v>1</v>
      </c>
    </row>
    <row r="233" spans="1:17" hidden="1" x14ac:dyDescent="0.25">
      <c r="A233">
        <v>232</v>
      </c>
      <c r="B233">
        <v>2023</v>
      </c>
      <c r="C233" s="4" t="s">
        <v>606</v>
      </c>
      <c r="D233" s="18" t="s">
        <v>416</v>
      </c>
      <c r="E233" t="s">
        <v>417</v>
      </c>
      <c r="F233" t="s">
        <v>70</v>
      </c>
      <c r="G233" t="s">
        <v>71</v>
      </c>
      <c r="H233" t="s">
        <v>55</v>
      </c>
      <c r="I233" t="s">
        <v>516</v>
      </c>
      <c r="J233" s="3">
        <v>45139</v>
      </c>
      <c r="K233" s="21">
        <v>50000</v>
      </c>
      <c r="M233" t="s">
        <v>30</v>
      </c>
      <c r="N233" t="s">
        <v>17</v>
      </c>
      <c r="O233" t="s">
        <v>366</v>
      </c>
      <c r="Q233">
        <v>1</v>
      </c>
    </row>
    <row r="234" spans="1:17" hidden="1" x14ac:dyDescent="0.25">
      <c r="A234">
        <v>233</v>
      </c>
      <c r="B234">
        <v>2023</v>
      </c>
      <c r="C234" s="4" t="s">
        <v>607</v>
      </c>
      <c r="D234" s="18" t="s">
        <v>664</v>
      </c>
      <c r="E234" s="34" t="s">
        <v>665</v>
      </c>
      <c r="F234" t="s">
        <v>83</v>
      </c>
      <c r="G234" t="s">
        <v>35</v>
      </c>
      <c r="H234" t="s">
        <v>555</v>
      </c>
      <c r="I234" t="s">
        <v>704</v>
      </c>
      <c r="J234" s="3">
        <v>45171</v>
      </c>
      <c r="K234" s="21">
        <v>15000</v>
      </c>
      <c r="M234" s="21" t="s">
        <v>21</v>
      </c>
      <c r="N234" s="21" t="s">
        <v>47</v>
      </c>
      <c r="O234" t="s">
        <v>366</v>
      </c>
      <c r="Q234">
        <v>1</v>
      </c>
    </row>
    <row r="235" spans="1:17" hidden="1" x14ac:dyDescent="0.25">
      <c r="A235">
        <v>234</v>
      </c>
      <c r="B235">
        <v>2023</v>
      </c>
      <c r="C235" s="4" t="s">
        <v>607</v>
      </c>
      <c r="D235" s="18" t="s">
        <v>666</v>
      </c>
      <c r="E235" s="34" t="s">
        <v>667</v>
      </c>
      <c r="F235" t="s">
        <v>159</v>
      </c>
      <c r="G235" t="s">
        <v>35</v>
      </c>
      <c r="H235" t="s">
        <v>555</v>
      </c>
      <c r="I235" t="s">
        <v>704</v>
      </c>
      <c r="J235" s="3">
        <v>45174</v>
      </c>
      <c r="K235" s="21">
        <v>18000</v>
      </c>
      <c r="M235" s="21" t="s">
        <v>21</v>
      </c>
      <c r="N235" s="21" t="s">
        <v>17</v>
      </c>
      <c r="O235" t="s">
        <v>366</v>
      </c>
      <c r="Q235">
        <v>1</v>
      </c>
    </row>
    <row r="236" spans="1:17" x14ac:dyDescent="0.25">
      <c r="A236">
        <v>235</v>
      </c>
      <c r="B236">
        <v>2023</v>
      </c>
      <c r="C236" s="4" t="s">
        <v>607</v>
      </c>
      <c r="D236" s="18" t="s">
        <v>668</v>
      </c>
      <c r="E236" s="34" t="s">
        <v>669</v>
      </c>
      <c r="F236" t="s">
        <v>45</v>
      </c>
      <c r="G236" t="s">
        <v>41</v>
      </c>
      <c r="H236" t="s">
        <v>555</v>
      </c>
      <c r="I236" t="s">
        <v>518</v>
      </c>
      <c r="J236" s="3">
        <v>45171</v>
      </c>
      <c r="K236" s="21">
        <v>25000</v>
      </c>
      <c r="M236" s="21" t="s">
        <v>58</v>
      </c>
      <c r="N236" s="21" t="s">
        <v>47</v>
      </c>
      <c r="O236" t="s">
        <v>366</v>
      </c>
      <c r="Q236">
        <v>1</v>
      </c>
    </row>
    <row r="237" spans="1:17" hidden="1" x14ac:dyDescent="0.25">
      <c r="A237">
        <v>236</v>
      </c>
      <c r="B237">
        <v>2023</v>
      </c>
      <c r="C237" s="4" t="s">
        <v>607</v>
      </c>
      <c r="D237" s="18" t="s">
        <v>670</v>
      </c>
      <c r="E237" s="34" t="s">
        <v>671</v>
      </c>
      <c r="F237" t="s">
        <v>524</v>
      </c>
      <c r="G237" t="s">
        <v>41</v>
      </c>
      <c r="H237" t="s">
        <v>555</v>
      </c>
      <c r="I237" t="s">
        <v>705</v>
      </c>
      <c r="J237" s="3">
        <v>45185</v>
      </c>
      <c r="K237" s="21">
        <v>42000</v>
      </c>
      <c r="M237" s="21" t="s">
        <v>58</v>
      </c>
      <c r="N237" s="21" t="s">
        <v>47</v>
      </c>
      <c r="O237" t="s">
        <v>366</v>
      </c>
      <c r="Q237">
        <v>1</v>
      </c>
    </row>
    <row r="238" spans="1:17" hidden="1" x14ac:dyDescent="0.25">
      <c r="A238">
        <v>237</v>
      </c>
      <c r="B238">
        <v>2023</v>
      </c>
      <c r="C238" s="4" t="s">
        <v>607</v>
      </c>
      <c r="D238" s="18" t="s">
        <v>672</v>
      </c>
      <c r="E238" s="34" t="s">
        <v>673</v>
      </c>
      <c r="F238" t="s">
        <v>214</v>
      </c>
      <c r="G238" t="s">
        <v>149</v>
      </c>
      <c r="H238" t="s">
        <v>55</v>
      </c>
      <c r="I238" t="s">
        <v>706</v>
      </c>
      <c r="J238" s="3">
        <v>45186</v>
      </c>
      <c r="K238" s="21">
        <v>20000</v>
      </c>
      <c r="M238" s="21" t="s">
        <v>30</v>
      </c>
      <c r="N238" s="21" t="s">
        <v>47</v>
      </c>
      <c r="O238" t="s">
        <v>366</v>
      </c>
      <c r="Q238">
        <v>1</v>
      </c>
    </row>
    <row r="239" spans="1:17" hidden="1" x14ac:dyDescent="0.25">
      <c r="A239" s="24">
        <v>238</v>
      </c>
      <c r="B239">
        <v>2023</v>
      </c>
      <c r="C239" s="4" t="s">
        <v>607</v>
      </c>
      <c r="D239" s="18" t="s">
        <v>674</v>
      </c>
      <c r="E239" s="34" t="s">
        <v>675</v>
      </c>
      <c r="F239" t="s">
        <v>214</v>
      </c>
      <c r="G239" t="s">
        <v>149</v>
      </c>
      <c r="H239" t="s">
        <v>555</v>
      </c>
      <c r="I239" t="s">
        <v>707</v>
      </c>
      <c r="J239" s="3">
        <v>45171</v>
      </c>
      <c r="K239" s="21">
        <v>20000</v>
      </c>
      <c r="M239" s="21" t="s">
        <v>38</v>
      </c>
      <c r="N239" s="21" t="s">
        <v>47</v>
      </c>
      <c r="O239" t="s">
        <v>366</v>
      </c>
      <c r="Q239">
        <v>1</v>
      </c>
    </row>
    <row r="240" spans="1:17" hidden="1" x14ac:dyDescent="0.25">
      <c r="A240">
        <v>239</v>
      </c>
      <c r="B240">
        <v>2023</v>
      </c>
      <c r="C240" s="4" t="s">
        <v>607</v>
      </c>
      <c r="D240" s="18" t="s">
        <v>676</v>
      </c>
      <c r="E240" s="34" t="s">
        <v>677</v>
      </c>
      <c r="F240" t="s">
        <v>219</v>
      </c>
      <c r="G240" t="s">
        <v>149</v>
      </c>
      <c r="H240" t="s">
        <v>555</v>
      </c>
      <c r="I240" t="s">
        <v>502</v>
      </c>
      <c r="J240" s="3">
        <v>45185</v>
      </c>
      <c r="K240" s="21">
        <v>50000</v>
      </c>
      <c r="M240" s="21" t="s">
        <v>21</v>
      </c>
      <c r="N240" s="21" t="s">
        <v>47</v>
      </c>
      <c r="O240" t="s">
        <v>366</v>
      </c>
      <c r="Q240">
        <v>1</v>
      </c>
    </row>
    <row r="241" spans="1:17" x14ac:dyDescent="0.25">
      <c r="A241">
        <v>240</v>
      </c>
      <c r="B241">
        <v>2023</v>
      </c>
      <c r="C241" s="4" t="s">
        <v>607</v>
      </c>
      <c r="D241" s="18" t="s">
        <v>678</v>
      </c>
      <c r="E241" s="34" t="s">
        <v>679</v>
      </c>
      <c r="F241" t="s">
        <v>45</v>
      </c>
      <c r="G241" t="s">
        <v>99</v>
      </c>
      <c r="H241" t="s">
        <v>57</v>
      </c>
      <c r="I241" t="s">
        <v>680</v>
      </c>
      <c r="J241" s="3">
        <v>45171</v>
      </c>
      <c r="K241" s="21">
        <v>25000</v>
      </c>
      <c r="M241" s="21" t="s">
        <v>30</v>
      </c>
      <c r="N241" s="21" t="s">
        <v>26</v>
      </c>
      <c r="O241" t="s">
        <v>366</v>
      </c>
      <c r="Q241">
        <v>1</v>
      </c>
    </row>
    <row r="242" spans="1:17" hidden="1" x14ac:dyDescent="0.25">
      <c r="A242">
        <v>241</v>
      </c>
      <c r="B242">
        <v>2023</v>
      </c>
      <c r="C242" s="4" t="s">
        <v>607</v>
      </c>
      <c r="D242" s="18" t="s">
        <v>681</v>
      </c>
      <c r="E242" s="34" t="s">
        <v>682</v>
      </c>
      <c r="F242" t="s">
        <v>524</v>
      </c>
      <c r="G242" t="s">
        <v>547</v>
      </c>
      <c r="H242" t="s">
        <v>555</v>
      </c>
      <c r="I242" t="s">
        <v>511</v>
      </c>
      <c r="J242" s="3">
        <v>45189</v>
      </c>
      <c r="K242" s="21">
        <v>45000</v>
      </c>
      <c r="M242" s="21" t="s">
        <v>21</v>
      </c>
      <c r="N242" s="21" t="s">
        <v>26</v>
      </c>
      <c r="O242" t="s">
        <v>366</v>
      </c>
      <c r="Q242">
        <v>1</v>
      </c>
    </row>
    <row r="243" spans="1:17" hidden="1" x14ac:dyDescent="0.25">
      <c r="A243">
        <v>242</v>
      </c>
      <c r="B243">
        <v>2023</v>
      </c>
      <c r="C243" s="4" t="s">
        <v>607</v>
      </c>
      <c r="D243" s="18" t="s">
        <v>683</v>
      </c>
      <c r="E243" s="34" t="s">
        <v>684</v>
      </c>
      <c r="F243" t="s">
        <v>164</v>
      </c>
      <c r="G243" t="s">
        <v>547</v>
      </c>
      <c r="H243" t="s">
        <v>555</v>
      </c>
      <c r="I243" t="s">
        <v>511</v>
      </c>
      <c r="J243" s="3">
        <v>45160</v>
      </c>
      <c r="K243" s="21">
        <v>85000</v>
      </c>
      <c r="M243" s="21" t="s">
        <v>194</v>
      </c>
      <c r="N243" s="21" t="s">
        <v>47</v>
      </c>
      <c r="O243" t="s">
        <v>366</v>
      </c>
      <c r="Q243">
        <v>1</v>
      </c>
    </row>
    <row r="244" spans="1:17" hidden="1" x14ac:dyDescent="0.25">
      <c r="A244">
        <v>243</v>
      </c>
      <c r="B244">
        <v>2023</v>
      </c>
      <c r="C244" s="4" t="s">
        <v>607</v>
      </c>
      <c r="D244" s="18" t="s">
        <v>685</v>
      </c>
      <c r="E244" s="34" t="s">
        <v>686</v>
      </c>
      <c r="F244" t="s">
        <v>150</v>
      </c>
      <c r="G244" t="s">
        <v>547</v>
      </c>
      <c r="H244" t="s">
        <v>555</v>
      </c>
      <c r="I244" t="s">
        <v>708</v>
      </c>
      <c r="J244" s="3">
        <v>45171</v>
      </c>
      <c r="K244" s="21">
        <v>65000</v>
      </c>
      <c r="M244" s="21" t="s">
        <v>21</v>
      </c>
      <c r="N244" s="21" t="s">
        <v>17</v>
      </c>
      <c r="O244" t="s">
        <v>366</v>
      </c>
      <c r="Q244">
        <v>1</v>
      </c>
    </row>
    <row r="245" spans="1:17" x14ac:dyDescent="0.25">
      <c r="A245">
        <v>244</v>
      </c>
      <c r="B245">
        <v>2023</v>
      </c>
      <c r="C245" s="4" t="s">
        <v>607</v>
      </c>
      <c r="D245" s="18" t="s">
        <v>687</v>
      </c>
      <c r="E245" s="34" t="s">
        <v>688</v>
      </c>
      <c r="F245" t="s">
        <v>45</v>
      </c>
      <c r="G245" t="s">
        <v>505</v>
      </c>
      <c r="H245" t="s">
        <v>555</v>
      </c>
      <c r="I245" t="s">
        <v>501</v>
      </c>
      <c r="J245" s="3">
        <v>45171</v>
      </c>
      <c r="K245" s="21">
        <v>26000</v>
      </c>
      <c r="M245" s="21" t="s">
        <v>21</v>
      </c>
      <c r="N245" s="21" t="s">
        <v>47</v>
      </c>
      <c r="O245" t="s">
        <v>366</v>
      </c>
      <c r="Q245">
        <v>1</v>
      </c>
    </row>
    <row r="246" spans="1:17" x14ac:dyDescent="0.25">
      <c r="A246">
        <v>245</v>
      </c>
      <c r="B246">
        <v>2023</v>
      </c>
      <c r="C246" s="4" t="s">
        <v>607</v>
      </c>
      <c r="D246" s="18" t="s">
        <v>689</v>
      </c>
      <c r="E246" s="34" t="s">
        <v>690</v>
      </c>
      <c r="F246" t="s">
        <v>45</v>
      </c>
      <c r="G246" t="s">
        <v>541</v>
      </c>
      <c r="H246" t="s">
        <v>15</v>
      </c>
      <c r="I246" t="s">
        <v>709</v>
      </c>
      <c r="J246" s="3">
        <v>45171</v>
      </c>
      <c r="K246" s="21">
        <v>22000</v>
      </c>
      <c r="M246" s="21" t="s">
        <v>691</v>
      </c>
      <c r="N246" s="21" t="s">
        <v>47</v>
      </c>
      <c r="O246" t="s">
        <v>366</v>
      </c>
      <c r="Q246">
        <v>1</v>
      </c>
    </row>
    <row r="247" spans="1:17" hidden="1" x14ac:dyDescent="0.25">
      <c r="A247" s="24">
        <v>246</v>
      </c>
      <c r="B247">
        <v>2023</v>
      </c>
      <c r="C247" s="4" t="s">
        <v>607</v>
      </c>
      <c r="D247" s="18" t="s">
        <v>692</v>
      </c>
      <c r="E247" s="34" t="s">
        <v>693</v>
      </c>
      <c r="F247" t="s">
        <v>524</v>
      </c>
      <c r="G247" t="s">
        <v>541</v>
      </c>
      <c r="H247" t="s">
        <v>57</v>
      </c>
      <c r="I247" t="s">
        <v>543</v>
      </c>
      <c r="J247" s="3">
        <v>45185</v>
      </c>
      <c r="K247" s="21">
        <v>35000</v>
      </c>
      <c r="M247" s="21" t="s">
        <v>53</v>
      </c>
      <c r="N247" s="21" t="s">
        <v>47</v>
      </c>
      <c r="O247" t="s">
        <v>366</v>
      </c>
      <c r="Q247">
        <v>1</v>
      </c>
    </row>
    <row r="248" spans="1:17" hidden="1" x14ac:dyDescent="0.25">
      <c r="A248">
        <v>247</v>
      </c>
      <c r="B248">
        <v>2023</v>
      </c>
      <c r="C248" s="4" t="s">
        <v>607</v>
      </c>
      <c r="D248" s="18" t="s">
        <v>694</v>
      </c>
      <c r="E248" s="34" t="s">
        <v>695</v>
      </c>
      <c r="F248" t="s">
        <v>524</v>
      </c>
      <c r="G248" t="s">
        <v>541</v>
      </c>
      <c r="H248" t="s">
        <v>57</v>
      </c>
      <c r="I248" t="s">
        <v>543</v>
      </c>
      <c r="J248" s="3">
        <v>45185</v>
      </c>
      <c r="K248" s="21">
        <v>33000</v>
      </c>
      <c r="M248" s="21" t="s">
        <v>58</v>
      </c>
      <c r="N248" s="21" t="s">
        <v>47</v>
      </c>
      <c r="O248" t="s">
        <v>366</v>
      </c>
      <c r="Q248">
        <v>1</v>
      </c>
    </row>
    <row r="249" spans="1:17" hidden="1" x14ac:dyDescent="0.25">
      <c r="A249">
        <v>248</v>
      </c>
      <c r="B249">
        <v>2023</v>
      </c>
      <c r="C249" s="4" t="s">
        <v>607</v>
      </c>
      <c r="D249" s="18" t="s">
        <v>696</v>
      </c>
      <c r="E249" s="34" t="s">
        <v>697</v>
      </c>
      <c r="F249" t="s">
        <v>698</v>
      </c>
      <c r="G249" t="s">
        <v>549</v>
      </c>
      <c r="H249" t="s">
        <v>555</v>
      </c>
      <c r="I249" t="s">
        <v>550</v>
      </c>
      <c r="J249" s="3">
        <v>45185</v>
      </c>
      <c r="K249" s="21">
        <v>50000</v>
      </c>
      <c r="M249" s="21" t="s">
        <v>21</v>
      </c>
      <c r="N249" s="21" t="s">
        <v>47</v>
      </c>
      <c r="O249" t="s">
        <v>366</v>
      </c>
      <c r="Q249">
        <v>1</v>
      </c>
    </row>
    <row r="250" spans="1:17" s="6" customFormat="1" hidden="1" x14ac:dyDescent="0.25">
      <c r="A250" s="6">
        <v>249</v>
      </c>
      <c r="B250" s="6">
        <v>2023</v>
      </c>
      <c r="C250" s="35" t="s">
        <v>607</v>
      </c>
      <c r="D250" s="19" t="s">
        <v>699</v>
      </c>
      <c r="E250" s="38" t="s">
        <v>700</v>
      </c>
      <c r="F250" s="6" t="s">
        <v>515</v>
      </c>
      <c r="G250" s="6" t="s">
        <v>71</v>
      </c>
      <c r="H250" s="6" t="s">
        <v>15</v>
      </c>
      <c r="I250" s="6" t="s">
        <v>710</v>
      </c>
      <c r="J250" s="7">
        <v>45185</v>
      </c>
      <c r="K250" s="22">
        <v>240000</v>
      </c>
      <c r="L250" s="22"/>
      <c r="M250" s="22" t="s">
        <v>25</v>
      </c>
      <c r="N250" s="22" t="s">
        <v>26</v>
      </c>
      <c r="O250" s="6" t="s">
        <v>366</v>
      </c>
      <c r="Q250" s="6">
        <v>1</v>
      </c>
    </row>
    <row r="251" spans="1:17" s="6" customFormat="1" hidden="1" x14ac:dyDescent="0.25">
      <c r="A251" s="6">
        <v>250</v>
      </c>
      <c r="B251" s="6">
        <v>2023</v>
      </c>
      <c r="C251" s="35" t="s">
        <v>607</v>
      </c>
      <c r="D251" s="19" t="s">
        <v>701</v>
      </c>
      <c r="E251" s="38" t="s">
        <v>702</v>
      </c>
      <c r="F251" s="6" t="s">
        <v>703</v>
      </c>
      <c r="G251" s="6" t="s">
        <v>71</v>
      </c>
      <c r="H251" s="6" t="s">
        <v>555</v>
      </c>
      <c r="I251" s="6" t="s">
        <v>561</v>
      </c>
      <c r="J251" s="7">
        <v>45189</v>
      </c>
      <c r="K251" s="22">
        <v>15000</v>
      </c>
      <c r="L251" s="22"/>
      <c r="M251" s="22" t="s">
        <v>78</v>
      </c>
      <c r="N251" s="22" t="s">
        <v>47</v>
      </c>
      <c r="O251" s="6" t="s">
        <v>366</v>
      </c>
      <c r="Q251" s="6">
        <v>1</v>
      </c>
    </row>
    <row r="252" spans="1:17" hidden="1" x14ac:dyDescent="0.25">
      <c r="A252">
        <v>251</v>
      </c>
      <c r="B252">
        <v>2023</v>
      </c>
      <c r="C252" s="4" t="s">
        <v>607</v>
      </c>
      <c r="D252" s="18" t="s">
        <v>418</v>
      </c>
      <c r="E252" s="34" t="s">
        <v>419</v>
      </c>
      <c r="F252" t="s">
        <v>146</v>
      </c>
      <c r="G252" t="s">
        <v>71</v>
      </c>
      <c r="H252" t="s">
        <v>555</v>
      </c>
      <c r="I252" t="s">
        <v>561</v>
      </c>
      <c r="J252" s="3">
        <v>45189</v>
      </c>
      <c r="K252" s="21">
        <v>20000</v>
      </c>
      <c r="M252" s="21" t="s">
        <v>30</v>
      </c>
      <c r="N252" s="21" t="s">
        <v>47</v>
      </c>
      <c r="O252" t="s">
        <v>366</v>
      </c>
      <c r="Q252">
        <v>1</v>
      </c>
    </row>
    <row r="253" spans="1:17" hidden="1" x14ac:dyDescent="0.25">
      <c r="A253">
        <v>252</v>
      </c>
      <c r="B253">
        <v>2023</v>
      </c>
      <c r="C253" s="4" t="s">
        <v>607</v>
      </c>
      <c r="D253" s="18" t="s">
        <v>420</v>
      </c>
      <c r="E253" s="34" t="s">
        <v>421</v>
      </c>
      <c r="F253" t="s">
        <v>146</v>
      </c>
      <c r="G253" t="s">
        <v>71</v>
      </c>
      <c r="H253" t="s">
        <v>555</v>
      </c>
      <c r="I253" t="s">
        <v>561</v>
      </c>
      <c r="J253" s="3">
        <v>45189</v>
      </c>
      <c r="K253" s="21">
        <v>20000</v>
      </c>
      <c r="M253" s="21" t="s">
        <v>21</v>
      </c>
      <c r="N253" s="21" t="s">
        <v>47</v>
      </c>
      <c r="O253" t="s">
        <v>366</v>
      </c>
      <c r="Q253">
        <v>1</v>
      </c>
    </row>
    <row r="254" spans="1:17" x14ac:dyDescent="0.25">
      <c r="A254">
        <v>253</v>
      </c>
      <c r="B254">
        <v>2023</v>
      </c>
      <c r="C254" s="4" t="s">
        <v>607</v>
      </c>
      <c r="D254" s="18" t="s">
        <v>422</v>
      </c>
      <c r="E254" s="34" t="s">
        <v>423</v>
      </c>
      <c r="F254" t="s">
        <v>45</v>
      </c>
      <c r="G254" s="6" t="s">
        <v>506</v>
      </c>
      <c r="H254" t="s">
        <v>555</v>
      </c>
      <c r="I254" t="s">
        <v>517</v>
      </c>
      <c r="J254" s="3">
        <v>45179</v>
      </c>
      <c r="K254" s="21">
        <v>25000</v>
      </c>
      <c r="M254" s="21" t="s">
        <v>21</v>
      </c>
      <c r="N254" s="21" t="s">
        <v>47</v>
      </c>
      <c r="O254" t="s">
        <v>366</v>
      </c>
      <c r="Q254">
        <v>1</v>
      </c>
    </row>
    <row r="255" spans="1:17" hidden="1" x14ac:dyDescent="0.25">
      <c r="A255" s="24">
        <v>254</v>
      </c>
      <c r="B255">
        <v>2023</v>
      </c>
      <c r="C255" s="4" t="s">
        <v>607</v>
      </c>
      <c r="D255" s="18" t="s">
        <v>424</v>
      </c>
      <c r="E255" s="34" t="s">
        <v>624</v>
      </c>
      <c r="F255" t="s">
        <v>122</v>
      </c>
      <c r="G255" t="s">
        <v>425</v>
      </c>
      <c r="H255" t="s">
        <v>15</v>
      </c>
      <c r="I255" t="s">
        <v>20</v>
      </c>
      <c r="J255" s="3">
        <v>45169</v>
      </c>
      <c r="K255" s="21">
        <v>240000</v>
      </c>
      <c r="M255" s="21" t="s">
        <v>21</v>
      </c>
      <c r="N255" s="21" t="s">
        <v>22</v>
      </c>
      <c r="O255" t="s">
        <v>366</v>
      </c>
      <c r="Q255">
        <v>1</v>
      </c>
    </row>
    <row r="256" spans="1:17" hidden="1" x14ac:dyDescent="0.25">
      <c r="A256">
        <v>255</v>
      </c>
      <c r="B256">
        <v>2023</v>
      </c>
      <c r="C256" s="4" t="s">
        <v>607</v>
      </c>
      <c r="D256" s="18" t="s">
        <v>426</v>
      </c>
      <c r="E256" s="34" t="s">
        <v>427</v>
      </c>
      <c r="F256" t="s">
        <v>654</v>
      </c>
      <c r="G256" t="s">
        <v>35</v>
      </c>
      <c r="H256" t="s">
        <v>90</v>
      </c>
      <c r="I256" t="s">
        <v>503</v>
      </c>
      <c r="J256" s="3">
        <v>45165</v>
      </c>
      <c r="K256" s="21">
        <v>10775</v>
      </c>
      <c r="M256" s="21" t="s">
        <v>21</v>
      </c>
      <c r="N256" s="21" t="s">
        <v>26</v>
      </c>
      <c r="O256" t="s">
        <v>366</v>
      </c>
      <c r="Q256">
        <v>1</v>
      </c>
    </row>
    <row r="257" spans="1:17" hidden="1" x14ac:dyDescent="0.25">
      <c r="A257">
        <v>256</v>
      </c>
      <c r="B257">
        <v>2023</v>
      </c>
      <c r="C257" s="4" t="s">
        <v>607</v>
      </c>
      <c r="D257" s="18" t="s">
        <v>428</v>
      </c>
      <c r="E257" s="34" t="s">
        <v>429</v>
      </c>
      <c r="F257" t="s">
        <v>654</v>
      </c>
      <c r="G257" t="s">
        <v>35</v>
      </c>
      <c r="H257" t="s">
        <v>90</v>
      </c>
      <c r="I257" t="s">
        <v>503</v>
      </c>
      <c r="J257" s="3">
        <v>45165</v>
      </c>
      <c r="K257" s="21">
        <v>10775</v>
      </c>
      <c r="M257" s="21" t="s">
        <v>21</v>
      </c>
      <c r="N257" s="21" t="s">
        <v>26</v>
      </c>
      <c r="O257" t="s">
        <v>366</v>
      </c>
      <c r="Q257">
        <v>1</v>
      </c>
    </row>
    <row r="258" spans="1:17" hidden="1" x14ac:dyDescent="0.25">
      <c r="A258">
        <v>257</v>
      </c>
      <c r="B258">
        <v>2023</v>
      </c>
      <c r="C258" s="4" t="s">
        <v>607</v>
      </c>
      <c r="D258" s="18" t="s">
        <v>430</v>
      </c>
      <c r="E258" s="34" t="s">
        <v>431</v>
      </c>
      <c r="F258" t="s">
        <v>654</v>
      </c>
      <c r="G258" t="s">
        <v>35</v>
      </c>
      <c r="H258" t="s">
        <v>90</v>
      </c>
      <c r="I258" t="s">
        <v>503</v>
      </c>
      <c r="J258" s="3">
        <v>45171</v>
      </c>
      <c r="K258" s="21">
        <v>10775</v>
      </c>
      <c r="M258" s="21" t="s">
        <v>21</v>
      </c>
      <c r="N258" s="21" t="s">
        <v>26</v>
      </c>
      <c r="O258" t="s">
        <v>366</v>
      </c>
      <c r="Q258">
        <v>1</v>
      </c>
    </row>
    <row r="259" spans="1:17" hidden="1" x14ac:dyDescent="0.25">
      <c r="A259">
        <v>258</v>
      </c>
      <c r="B259">
        <v>2023</v>
      </c>
      <c r="C259" s="4" t="s">
        <v>607</v>
      </c>
      <c r="D259" s="18" t="s">
        <v>432</v>
      </c>
      <c r="E259" s="34" t="s">
        <v>433</v>
      </c>
      <c r="F259" t="s">
        <v>434</v>
      </c>
      <c r="G259" t="s">
        <v>35</v>
      </c>
      <c r="H259" t="s">
        <v>555</v>
      </c>
      <c r="I259" t="s">
        <v>503</v>
      </c>
      <c r="J259" s="3">
        <v>45185</v>
      </c>
      <c r="K259" s="21">
        <v>15000</v>
      </c>
      <c r="M259" s="21" t="s">
        <v>21</v>
      </c>
      <c r="N259" s="21" t="s">
        <v>17</v>
      </c>
      <c r="O259" t="s">
        <v>366</v>
      </c>
      <c r="Q259">
        <v>1</v>
      </c>
    </row>
    <row r="260" spans="1:17" hidden="1" x14ac:dyDescent="0.25">
      <c r="A260">
        <v>259</v>
      </c>
      <c r="B260">
        <v>2023</v>
      </c>
      <c r="C260" s="4" t="s">
        <v>607</v>
      </c>
      <c r="D260" s="18" t="s">
        <v>435</v>
      </c>
      <c r="E260" s="34" t="s">
        <v>436</v>
      </c>
      <c r="F260" t="s">
        <v>654</v>
      </c>
      <c r="G260" t="s">
        <v>35</v>
      </c>
      <c r="H260" t="s">
        <v>409</v>
      </c>
      <c r="I260" t="s">
        <v>503</v>
      </c>
      <c r="J260" s="3">
        <v>45185</v>
      </c>
      <c r="K260" s="21">
        <v>10775</v>
      </c>
      <c r="M260" s="21" t="s">
        <v>197</v>
      </c>
      <c r="N260" s="21" t="s">
        <v>26</v>
      </c>
      <c r="O260" t="s">
        <v>366</v>
      </c>
      <c r="Q260">
        <v>1</v>
      </c>
    </row>
    <row r="261" spans="1:17" hidden="1" x14ac:dyDescent="0.25">
      <c r="A261">
        <v>260</v>
      </c>
      <c r="B261">
        <v>2023</v>
      </c>
      <c r="C261" s="4" t="s">
        <v>607</v>
      </c>
      <c r="D261" s="18" t="s">
        <v>437</v>
      </c>
      <c r="E261" s="34" t="s">
        <v>438</v>
      </c>
      <c r="F261" t="s">
        <v>654</v>
      </c>
      <c r="G261" t="s">
        <v>35</v>
      </c>
      <c r="H261" t="s">
        <v>409</v>
      </c>
      <c r="I261" t="s">
        <v>503</v>
      </c>
      <c r="J261" s="3">
        <v>45185</v>
      </c>
      <c r="K261" s="21">
        <v>10775</v>
      </c>
      <c r="M261" s="21" t="s">
        <v>197</v>
      </c>
      <c r="N261" s="21" t="s">
        <v>26</v>
      </c>
      <c r="O261" t="s">
        <v>366</v>
      </c>
      <c r="Q261">
        <v>1</v>
      </c>
    </row>
    <row r="262" spans="1:17" hidden="1" x14ac:dyDescent="0.25">
      <c r="A262">
        <v>261</v>
      </c>
      <c r="B262">
        <v>2023</v>
      </c>
      <c r="C262" s="4" t="s">
        <v>607</v>
      </c>
      <c r="D262" s="18" t="s">
        <v>439</v>
      </c>
      <c r="E262" s="34" t="s">
        <v>440</v>
      </c>
      <c r="F262" t="s">
        <v>92</v>
      </c>
      <c r="G262" t="s">
        <v>35</v>
      </c>
      <c r="H262" s="2" t="s">
        <v>555</v>
      </c>
      <c r="I262" t="s">
        <v>503</v>
      </c>
      <c r="J262" s="3">
        <v>45172</v>
      </c>
      <c r="K262" s="21">
        <v>14000</v>
      </c>
      <c r="M262" s="21" t="s">
        <v>21</v>
      </c>
      <c r="N262" s="21" t="s">
        <v>17</v>
      </c>
      <c r="O262" t="s">
        <v>366</v>
      </c>
      <c r="Q262">
        <v>1</v>
      </c>
    </row>
    <row r="263" spans="1:17" hidden="1" x14ac:dyDescent="0.25">
      <c r="A263" s="24">
        <v>262</v>
      </c>
      <c r="B263">
        <v>2023</v>
      </c>
      <c r="C263" s="4" t="s">
        <v>608</v>
      </c>
      <c r="D263" s="18" t="s">
        <v>441</v>
      </c>
      <c r="E263" t="s">
        <v>442</v>
      </c>
      <c r="F263" t="s">
        <v>122</v>
      </c>
      <c r="G263" t="s">
        <v>14</v>
      </c>
      <c r="H263" t="s">
        <v>15</v>
      </c>
      <c r="I263" t="s">
        <v>443</v>
      </c>
      <c r="J263" s="3">
        <v>45214</v>
      </c>
      <c r="K263" s="21">
        <v>500000</v>
      </c>
      <c r="M263" t="s">
        <v>334</v>
      </c>
      <c r="N263" t="s">
        <v>26</v>
      </c>
      <c r="O263" t="s">
        <v>366</v>
      </c>
      <c r="Q263">
        <v>1</v>
      </c>
    </row>
    <row r="264" spans="1:17" hidden="1" x14ac:dyDescent="0.25">
      <c r="A264">
        <v>263</v>
      </c>
      <c r="B264">
        <v>2023</v>
      </c>
      <c r="C264" s="4" t="s">
        <v>608</v>
      </c>
      <c r="D264" s="18" t="s">
        <v>444</v>
      </c>
      <c r="E264" t="s">
        <v>445</v>
      </c>
      <c r="F264" t="s">
        <v>526</v>
      </c>
      <c r="G264" t="s">
        <v>41</v>
      </c>
      <c r="H264" t="s">
        <v>555</v>
      </c>
      <c r="I264" t="s">
        <v>518</v>
      </c>
      <c r="J264" s="3">
        <v>45214</v>
      </c>
      <c r="K264" s="21">
        <v>20000</v>
      </c>
      <c r="M264" t="s">
        <v>16</v>
      </c>
      <c r="N264" t="s">
        <v>47</v>
      </c>
      <c r="O264" t="s">
        <v>366</v>
      </c>
      <c r="Q264">
        <v>1</v>
      </c>
    </row>
    <row r="265" spans="1:17" hidden="1" x14ac:dyDescent="0.25">
      <c r="A265">
        <v>264</v>
      </c>
      <c r="B265">
        <v>2023</v>
      </c>
      <c r="C265" s="4" t="s">
        <v>608</v>
      </c>
      <c r="D265" s="18" t="s">
        <v>446</v>
      </c>
      <c r="E265" t="s">
        <v>447</v>
      </c>
      <c r="F265" t="s">
        <v>526</v>
      </c>
      <c r="G265" t="s">
        <v>41</v>
      </c>
      <c r="H265" t="s">
        <v>555</v>
      </c>
      <c r="I265" t="s">
        <v>518</v>
      </c>
      <c r="J265" s="3">
        <v>45214</v>
      </c>
      <c r="K265" s="21">
        <v>20000</v>
      </c>
      <c r="M265" t="s">
        <v>30</v>
      </c>
      <c r="N265" t="s">
        <v>47</v>
      </c>
      <c r="O265" t="s">
        <v>366</v>
      </c>
      <c r="Q265">
        <v>1</v>
      </c>
    </row>
    <row r="266" spans="1:17" x14ac:dyDescent="0.25">
      <c r="A266">
        <v>265</v>
      </c>
      <c r="B266">
        <v>2023</v>
      </c>
      <c r="C266" s="4" t="s">
        <v>608</v>
      </c>
      <c r="D266" s="18" t="s">
        <v>448</v>
      </c>
      <c r="E266" t="s">
        <v>449</v>
      </c>
      <c r="F266" t="s">
        <v>45</v>
      </c>
      <c r="G266" t="s">
        <v>41</v>
      </c>
      <c r="H266" t="s">
        <v>555</v>
      </c>
      <c r="I266" t="s">
        <v>508</v>
      </c>
      <c r="J266" s="3">
        <v>45200</v>
      </c>
      <c r="K266" s="21">
        <v>28000</v>
      </c>
      <c r="M266" t="s">
        <v>78</v>
      </c>
      <c r="N266" t="s">
        <v>47</v>
      </c>
      <c r="O266" t="s">
        <v>366</v>
      </c>
      <c r="Q266">
        <v>1</v>
      </c>
    </row>
    <row r="267" spans="1:17" hidden="1" x14ac:dyDescent="0.25">
      <c r="A267">
        <v>266</v>
      </c>
      <c r="B267">
        <v>2023</v>
      </c>
      <c r="C267" s="4" t="s">
        <v>608</v>
      </c>
      <c r="D267" s="18" t="s">
        <v>450</v>
      </c>
      <c r="E267" t="s">
        <v>451</v>
      </c>
      <c r="F267" t="s">
        <v>219</v>
      </c>
      <c r="G267" t="s">
        <v>149</v>
      </c>
      <c r="H267" t="s">
        <v>555</v>
      </c>
      <c r="I267" t="s">
        <v>502</v>
      </c>
      <c r="J267" s="3">
        <v>45214</v>
      </c>
      <c r="K267" s="21">
        <v>45000</v>
      </c>
      <c r="M267" t="s">
        <v>21</v>
      </c>
      <c r="N267" t="s">
        <v>17</v>
      </c>
      <c r="O267" t="s">
        <v>366</v>
      </c>
      <c r="Q267">
        <v>1</v>
      </c>
    </row>
    <row r="268" spans="1:17" hidden="1" x14ac:dyDescent="0.25">
      <c r="A268">
        <v>267</v>
      </c>
      <c r="B268">
        <v>2023</v>
      </c>
      <c r="C268" s="4" t="s">
        <v>608</v>
      </c>
      <c r="D268" s="18" t="s">
        <v>452</v>
      </c>
      <c r="E268" t="s">
        <v>453</v>
      </c>
      <c r="F268" t="s">
        <v>219</v>
      </c>
      <c r="G268" t="s">
        <v>149</v>
      </c>
      <c r="H268" t="s">
        <v>55</v>
      </c>
      <c r="I268" t="s">
        <v>522</v>
      </c>
      <c r="J268" s="3">
        <v>45214</v>
      </c>
      <c r="K268" s="21">
        <v>42000</v>
      </c>
      <c r="M268" t="s">
        <v>30</v>
      </c>
      <c r="N268" t="s">
        <v>47</v>
      </c>
      <c r="O268" t="s">
        <v>366</v>
      </c>
      <c r="Q268">
        <v>1</v>
      </c>
    </row>
    <row r="269" spans="1:17" s="24" customFormat="1" hidden="1" x14ac:dyDescent="0.25">
      <c r="A269">
        <v>268</v>
      </c>
      <c r="B269" s="24">
        <v>2023</v>
      </c>
      <c r="C269" s="36" t="s">
        <v>608</v>
      </c>
      <c r="D269" s="26" t="s">
        <v>454</v>
      </c>
      <c r="E269" s="24" t="s">
        <v>455</v>
      </c>
      <c r="F269" s="24" t="s">
        <v>515</v>
      </c>
      <c r="G269" s="24" t="s">
        <v>505</v>
      </c>
      <c r="H269" s="24" t="s">
        <v>555</v>
      </c>
      <c r="I269" s="24" t="s">
        <v>531</v>
      </c>
      <c r="J269" s="25">
        <v>45221</v>
      </c>
      <c r="K269" s="27">
        <v>230000</v>
      </c>
      <c r="L269" s="27"/>
      <c r="M269" s="24" t="s">
        <v>53</v>
      </c>
      <c r="N269" s="24" t="s">
        <v>47</v>
      </c>
      <c r="O269" s="24" t="s">
        <v>366</v>
      </c>
      <c r="Q269" s="24">
        <v>1</v>
      </c>
    </row>
    <row r="270" spans="1:17" hidden="1" x14ac:dyDescent="0.25">
      <c r="A270">
        <v>269</v>
      </c>
      <c r="B270">
        <v>2023</v>
      </c>
      <c r="C270" s="4" t="s">
        <v>608</v>
      </c>
      <c r="D270" s="18" t="s">
        <v>456</v>
      </c>
      <c r="E270" t="s">
        <v>457</v>
      </c>
      <c r="F270" t="s">
        <v>711</v>
      </c>
      <c r="G270" t="s">
        <v>99</v>
      </c>
      <c r="H270" t="s">
        <v>15</v>
      </c>
      <c r="I270" t="s">
        <v>504</v>
      </c>
      <c r="J270" s="3">
        <v>45214</v>
      </c>
      <c r="K270" s="21">
        <v>22000</v>
      </c>
      <c r="M270" t="s">
        <v>16</v>
      </c>
      <c r="N270" t="s">
        <v>47</v>
      </c>
      <c r="O270" t="s">
        <v>366</v>
      </c>
      <c r="Q270">
        <v>1</v>
      </c>
    </row>
    <row r="271" spans="1:17" hidden="1" x14ac:dyDescent="0.25">
      <c r="A271" s="24">
        <v>270</v>
      </c>
      <c r="B271">
        <v>2023</v>
      </c>
      <c r="C271" s="4" t="s">
        <v>608</v>
      </c>
      <c r="D271" s="18" t="s">
        <v>458</v>
      </c>
      <c r="E271" t="s">
        <v>650</v>
      </c>
      <c r="F271" t="s">
        <v>539</v>
      </c>
      <c r="G271" t="s">
        <v>99</v>
      </c>
      <c r="H271" t="s">
        <v>15</v>
      </c>
      <c r="I271" t="s">
        <v>504</v>
      </c>
      <c r="J271" s="3">
        <v>45214</v>
      </c>
      <c r="K271" s="21">
        <v>24000</v>
      </c>
      <c r="M271" t="s">
        <v>78</v>
      </c>
      <c r="N271" t="s">
        <v>47</v>
      </c>
      <c r="O271" t="s">
        <v>366</v>
      </c>
      <c r="Q271">
        <v>1</v>
      </c>
    </row>
    <row r="272" spans="1:17" s="24" customFormat="1" hidden="1" x14ac:dyDescent="0.25">
      <c r="A272">
        <v>271</v>
      </c>
      <c r="B272">
        <v>2023</v>
      </c>
      <c r="C272" s="4" t="s">
        <v>608</v>
      </c>
      <c r="D272" s="26" t="s">
        <v>459</v>
      </c>
      <c r="E272" s="24" t="s">
        <v>460</v>
      </c>
      <c r="F272" s="24" t="s">
        <v>526</v>
      </c>
      <c r="G272" s="24" t="s">
        <v>541</v>
      </c>
      <c r="H272" s="24" t="s">
        <v>15</v>
      </c>
      <c r="I272" s="24" t="s">
        <v>546</v>
      </c>
      <c r="J272" s="25">
        <v>45200</v>
      </c>
      <c r="K272" s="27">
        <v>18000</v>
      </c>
      <c r="L272" s="27"/>
      <c r="M272" s="24" t="s">
        <v>78</v>
      </c>
      <c r="N272" s="24" t="s">
        <v>47</v>
      </c>
      <c r="O272" s="24" t="s">
        <v>366</v>
      </c>
      <c r="Q272" s="24">
        <v>1</v>
      </c>
    </row>
    <row r="273" spans="1:19" s="24" customFormat="1" x14ac:dyDescent="0.25">
      <c r="A273">
        <v>272</v>
      </c>
      <c r="B273">
        <v>2023</v>
      </c>
      <c r="C273" s="4" t="s">
        <v>608</v>
      </c>
      <c r="D273" s="26" t="s">
        <v>461</v>
      </c>
      <c r="E273" s="24" t="s">
        <v>597</v>
      </c>
      <c r="F273" s="24" t="s">
        <v>45</v>
      </c>
      <c r="G273" s="24" t="s">
        <v>541</v>
      </c>
      <c r="H273" s="24" t="s">
        <v>15</v>
      </c>
      <c r="I273" s="24" t="s">
        <v>546</v>
      </c>
      <c r="J273" s="25">
        <v>45200</v>
      </c>
      <c r="K273" s="27">
        <v>20000</v>
      </c>
      <c r="L273" s="27"/>
      <c r="M273" s="24" t="s">
        <v>16</v>
      </c>
      <c r="N273" s="24" t="s">
        <v>17</v>
      </c>
      <c r="O273" s="24" t="s">
        <v>366</v>
      </c>
      <c r="Q273" s="24">
        <v>1</v>
      </c>
    </row>
    <row r="274" spans="1:19" s="24" customFormat="1" x14ac:dyDescent="0.25">
      <c r="A274">
        <v>273</v>
      </c>
      <c r="B274">
        <v>2023</v>
      </c>
      <c r="C274" s="4" t="s">
        <v>608</v>
      </c>
      <c r="D274" s="26" t="s">
        <v>462</v>
      </c>
      <c r="E274" s="24" t="s">
        <v>596</v>
      </c>
      <c r="F274" s="24" t="s">
        <v>45</v>
      </c>
      <c r="G274" s="24" t="s">
        <v>541</v>
      </c>
      <c r="H274" s="24" t="s">
        <v>15</v>
      </c>
      <c r="I274" s="24" t="s">
        <v>546</v>
      </c>
      <c r="J274" s="25">
        <v>45200</v>
      </c>
      <c r="K274" s="27">
        <v>20000</v>
      </c>
      <c r="L274" s="27"/>
      <c r="M274" s="24" t="s">
        <v>16</v>
      </c>
      <c r="N274" s="24" t="s">
        <v>17</v>
      </c>
      <c r="O274" s="24" t="s">
        <v>366</v>
      </c>
      <c r="Q274" s="24">
        <v>1</v>
      </c>
    </row>
    <row r="275" spans="1:19" s="6" customFormat="1" hidden="1" x14ac:dyDescent="0.25">
      <c r="A275">
        <v>274</v>
      </c>
      <c r="B275" s="6">
        <v>2023</v>
      </c>
      <c r="C275" s="35" t="s">
        <v>608</v>
      </c>
      <c r="D275" s="19" t="s">
        <v>463</v>
      </c>
      <c r="E275" s="6" t="s">
        <v>464</v>
      </c>
      <c r="F275" s="6" t="s">
        <v>540</v>
      </c>
      <c r="G275" s="6" t="s">
        <v>713</v>
      </c>
      <c r="H275" s="6" t="s">
        <v>15</v>
      </c>
      <c r="I275" s="6" t="s">
        <v>37</v>
      </c>
      <c r="J275" s="7">
        <v>45200</v>
      </c>
      <c r="K275" s="22">
        <v>300000</v>
      </c>
      <c r="L275" s="22"/>
      <c r="M275" s="6" t="s">
        <v>78</v>
      </c>
      <c r="N275" s="6" t="s">
        <v>26</v>
      </c>
      <c r="O275" s="6" t="s">
        <v>366</v>
      </c>
      <c r="Q275" s="6">
        <v>1</v>
      </c>
    </row>
    <row r="276" spans="1:19" x14ac:dyDescent="0.25">
      <c r="A276">
        <v>275</v>
      </c>
      <c r="B276">
        <v>2023</v>
      </c>
      <c r="C276" s="4" t="s">
        <v>608</v>
      </c>
      <c r="D276" s="18" t="s">
        <v>465</v>
      </c>
      <c r="E276" t="s">
        <v>712</v>
      </c>
      <c r="F276" t="s">
        <v>45</v>
      </c>
      <c r="G276" t="s">
        <v>466</v>
      </c>
      <c r="H276" t="s">
        <v>555</v>
      </c>
      <c r="I276" t="s">
        <v>535</v>
      </c>
      <c r="J276" s="3">
        <v>45214</v>
      </c>
      <c r="K276" s="21">
        <v>22000</v>
      </c>
      <c r="M276" t="s">
        <v>21</v>
      </c>
      <c r="N276" t="s">
        <v>47</v>
      </c>
      <c r="O276" t="s">
        <v>366</v>
      </c>
      <c r="Q276">
        <v>1</v>
      </c>
    </row>
    <row r="277" spans="1:19" hidden="1" x14ac:dyDescent="0.25">
      <c r="A277">
        <v>276</v>
      </c>
      <c r="B277">
        <v>2023</v>
      </c>
      <c r="C277" s="4" t="s">
        <v>608</v>
      </c>
      <c r="D277" s="18" t="s">
        <v>467</v>
      </c>
      <c r="E277" t="s">
        <v>468</v>
      </c>
      <c r="F277" t="s">
        <v>70</v>
      </c>
      <c r="G277" t="s">
        <v>71</v>
      </c>
      <c r="H277" t="s">
        <v>55</v>
      </c>
      <c r="I277" t="s">
        <v>499</v>
      </c>
      <c r="J277" s="3">
        <v>45214</v>
      </c>
      <c r="K277" s="21">
        <v>45000</v>
      </c>
      <c r="M277" t="s">
        <v>30</v>
      </c>
      <c r="N277" t="s">
        <v>47</v>
      </c>
      <c r="O277" t="s">
        <v>366</v>
      </c>
      <c r="Q277">
        <v>1</v>
      </c>
    </row>
    <row r="278" spans="1:19" hidden="1" x14ac:dyDescent="0.25">
      <c r="A278">
        <v>277</v>
      </c>
      <c r="B278">
        <v>2023</v>
      </c>
      <c r="C278" s="4" t="s">
        <v>608</v>
      </c>
      <c r="D278" s="18" t="s">
        <v>469</v>
      </c>
      <c r="E278" t="s">
        <v>470</v>
      </c>
      <c r="F278" t="s">
        <v>146</v>
      </c>
      <c r="G278" t="s">
        <v>71</v>
      </c>
      <c r="H278" t="s">
        <v>55</v>
      </c>
      <c r="I278" t="s">
        <v>499</v>
      </c>
      <c r="J278" s="3">
        <v>45214</v>
      </c>
      <c r="K278" s="21">
        <v>20000</v>
      </c>
      <c r="M278" t="s">
        <v>30</v>
      </c>
      <c r="N278" t="s">
        <v>47</v>
      </c>
      <c r="O278" t="s">
        <v>366</v>
      </c>
      <c r="Q278">
        <v>1</v>
      </c>
    </row>
    <row r="279" spans="1:19" hidden="1" x14ac:dyDescent="0.25">
      <c r="A279" s="24">
        <v>278</v>
      </c>
      <c r="B279">
        <v>2023</v>
      </c>
      <c r="C279" s="4" t="s">
        <v>608</v>
      </c>
      <c r="D279" s="18" t="s">
        <v>471</v>
      </c>
      <c r="E279" t="s">
        <v>472</v>
      </c>
      <c r="F279" t="s">
        <v>146</v>
      </c>
      <c r="G279" t="s">
        <v>71</v>
      </c>
      <c r="H279" t="s">
        <v>555</v>
      </c>
      <c r="I279" t="s">
        <v>510</v>
      </c>
      <c r="J279" s="3">
        <v>45200</v>
      </c>
      <c r="K279" s="21">
        <v>20000</v>
      </c>
      <c r="M279" t="s">
        <v>78</v>
      </c>
      <c r="N279" t="s">
        <v>47</v>
      </c>
      <c r="O279" t="s">
        <v>366</v>
      </c>
      <c r="Q279">
        <v>1</v>
      </c>
    </row>
    <row r="280" spans="1:19" hidden="1" x14ac:dyDescent="0.25">
      <c r="A280">
        <v>279</v>
      </c>
      <c r="B280">
        <v>2023</v>
      </c>
      <c r="C280" s="4" t="s">
        <v>608</v>
      </c>
      <c r="D280" s="18" t="s">
        <v>473</v>
      </c>
      <c r="E280" t="s">
        <v>474</v>
      </c>
      <c r="F280" t="s">
        <v>146</v>
      </c>
      <c r="G280" t="s">
        <v>71</v>
      </c>
      <c r="H280" t="s">
        <v>555</v>
      </c>
      <c r="I280" t="s">
        <v>510</v>
      </c>
      <c r="J280" s="3">
        <v>45214</v>
      </c>
      <c r="K280" s="21">
        <v>20000</v>
      </c>
      <c r="M280" t="s">
        <v>21</v>
      </c>
      <c r="N280" t="s">
        <v>47</v>
      </c>
      <c r="O280" t="s">
        <v>366</v>
      </c>
      <c r="Q280">
        <v>1</v>
      </c>
    </row>
    <row r="281" spans="1:19" hidden="1" x14ac:dyDescent="0.25">
      <c r="A281">
        <v>280</v>
      </c>
      <c r="B281">
        <v>2023</v>
      </c>
      <c r="C281" s="4" t="s">
        <v>608</v>
      </c>
      <c r="D281" s="18" t="s">
        <v>475</v>
      </c>
      <c r="E281" t="s">
        <v>651</v>
      </c>
      <c r="F281" t="s">
        <v>146</v>
      </c>
      <c r="G281" t="s">
        <v>71</v>
      </c>
      <c r="H281" t="s">
        <v>555</v>
      </c>
      <c r="I281" t="s">
        <v>510</v>
      </c>
      <c r="J281" s="3">
        <v>45214</v>
      </c>
      <c r="K281" s="21">
        <v>20000</v>
      </c>
      <c r="M281" t="s">
        <v>21</v>
      </c>
      <c r="N281" t="s">
        <v>17</v>
      </c>
      <c r="O281" t="s">
        <v>366</v>
      </c>
      <c r="Q281">
        <v>1</v>
      </c>
    </row>
    <row r="282" spans="1:19" hidden="1" x14ac:dyDescent="0.25">
      <c r="A282">
        <v>281</v>
      </c>
      <c r="B282">
        <v>2023</v>
      </c>
      <c r="C282" s="4" t="s">
        <v>608</v>
      </c>
      <c r="D282" s="18" t="s">
        <v>586</v>
      </c>
      <c r="E282" t="s">
        <v>476</v>
      </c>
      <c r="F282" t="s">
        <v>477</v>
      </c>
      <c r="G282" t="s">
        <v>71</v>
      </c>
      <c r="H282" t="s">
        <v>555</v>
      </c>
      <c r="I282" t="s">
        <v>478</v>
      </c>
      <c r="J282" s="3">
        <v>45209</v>
      </c>
      <c r="K282" s="21">
        <v>18000</v>
      </c>
      <c r="M282" t="s">
        <v>78</v>
      </c>
      <c r="N282" t="s">
        <v>47</v>
      </c>
      <c r="O282" t="s">
        <v>366</v>
      </c>
      <c r="Q282">
        <v>1</v>
      </c>
    </row>
    <row r="283" spans="1:19" hidden="1" x14ac:dyDescent="0.25">
      <c r="A283">
        <v>282</v>
      </c>
      <c r="B283">
        <v>2023</v>
      </c>
      <c r="C283" s="4" t="s">
        <v>608</v>
      </c>
      <c r="D283" s="18" t="s">
        <v>479</v>
      </c>
      <c r="E283" t="s">
        <v>480</v>
      </c>
      <c r="F283" t="s">
        <v>539</v>
      </c>
      <c r="G283" t="s">
        <v>317</v>
      </c>
      <c r="H283" t="s">
        <v>555</v>
      </c>
      <c r="I283" t="s">
        <v>318</v>
      </c>
      <c r="J283" s="3">
        <v>45214</v>
      </c>
      <c r="K283" s="21">
        <v>15000</v>
      </c>
      <c r="M283" t="s">
        <v>21</v>
      </c>
      <c r="N283" t="s">
        <v>17</v>
      </c>
      <c r="O283" t="s">
        <v>366</v>
      </c>
      <c r="Q283">
        <v>1</v>
      </c>
    </row>
    <row r="284" spans="1:19" hidden="1" x14ac:dyDescent="0.25">
      <c r="A284">
        <v>283</v>
      </c>
      <c r="B284">
        <v>2023</v>
      </c>
      <c r="C284" s="4" t="s">
        <v>608</v>
      </c>
      <c r="D284" s="18" t="s">
        <v>481</v>
      </c>
      <c r="E284" t="s">
        <v>482</v>
      </c>
      <c r="F284" t="s">
        <v>539</v>
      </c>
      <c r="G284" t="s">
        <v>317</v>
      </c>
      <c r="H284" t="s">
        <v>555</v>
      </c>
      <c r="I284" t="s">
        <v>318</v>
      </c>
      <c r="J284" s="3">
        <v>45214</v>
      </c>
      <c r="K284" s="21">
        <v>15000</v>
      </c>
      <c r="M284" t="s">
        <v>21</v>
      </c>
      <c r="N284" t="s">
        <v>47</v>
      </c>
      <c r="O284" t="s">
        <v>366</v>
      </c>
      <c r="Q284">
        <v>1</v>
      </c>
    </row>
    <row r="285" spans="1:19" hidden="1" x14ac:dyDescent="0.25">
      <c r="A285">
        <v>284</v>
      </c>
      <c r="B285">
        <v>2023</v>
      </c>
      <c r="C285" s="4" t="s">
        <v>608</v>
      </c>
      <c r="D285" s="18" t="s">
        <v>483</v>
      </c>
      <c r="E285" t="s">
        <v>484</v>
      </c>
      <c r="F285" t="s">
        <v>526</v>
      </c>
      <c r="G285" t="s">
        <v>317</v>
      </c>
      <c r="H285" t="s">
        <v>555</v>
      </c>
      <c r="I285" t="s">
        <v>318</v>
      </c>
      <c r="J285" s="3">
        <v>45214</v>
      </c>
      <c r="K285" s="21">
        <v>15000</v>
      </c>
      <c r="M285" t="s">
        <v>38</v>
      </c>
      <c r="N285" t="s">
        <v>17</v>
      </c>
      <c r="O285" t="s">
        <v>366</v>
      </c>
      <c r="Q285">
        <v>1</v>
      </c>
      <c r="S285" s="13"/>
    </row>
    <row r="286" spans="1:19" hidden="1" x14ac:dyDescent="0.25">
      <c r="A286">
        <v>285</v>
      </c>
      <c r="B286">
        <v>2023</v>
      </c>
      <c r="C286" s="4" t="s">
        <v>608</v>
      </c>
      <c r="D286" s="18" t="s">
        <v>485</v>
      </c>
      <c r="E286" t="s">
        <v>486</v>
      </c>
      <c r="F286" t="s">
        <v>150</v>
      </c>
      <c r="G286" t="s">
        <v>317</v>
      </c>
      <c r="H286" t="s">
        <v>555</v>
      </c>
      <c r="I286" t="s">
        <v>318</v>
      </c>
      <c r="J286" s="3">
        <v>45214</v>
      </c>
      <c r="K286" s="21">
        <v>65000</v>
      </c>
      <c r="M286" t="s">
        <v>21</v>
      </c>
      <c r="N286" t="s">
        <v>47</v>
      </c>
      <c r="O286" t="s">
        <v>366</v>
      </c>
      <c r="Q286">
        <v>1</v>
      </c>
    </row>
    <row r="287" spans="1:19" x14ac:dyDescent="0.25">
      <c r="A287" s="13">
        <v>286</v>
      </c>
      <c r="B287">
        <v>2023</v>
      </c>
      <c r="C287" s="4" t="s">
        <v>608</v>
      </c>
      <c r="D287" s="18" t="s">
        <v>487</v>
      </c>
      <c r="E287" t="s">
        <v>488</v>
      </c>
      <c r="F287" t="s">
        <v>45</v>
      </c>
      <c r="G287" t="s">
        <v>35</v>
      </c>
      <c r="H287" t="s">
        <v>555</v>
      </c>
      <c r="I287" t="s">
        <v>503</v>
      </c>
      <c r="J287" s="3">
        <v>45200</v>
      </c>
      <c r="K287" s="21">
        <v>25000</v>
      </c>
      <c r="M287" t="s">
        <v>93</v>
      </c>
      <c r="N287" t="s">
        <v>47</v>
      </c>
      <c r="O287" t="s">
        <v>366</v>
      </c>
      <c r="Q287">
        <v>1</v>
      </c>
      <c r="S287" s="6"/>
    </row>
    <row r="288" spans="1:19" hidden="1" x14ac:dyDescent="0.25">
      <c r="A288">
        <v>287</v>
      </c>
      <c r="B288">
        <v>2023</v>
      </c>
      <c r="C288" s="4" t="s">
        <v>608</v>
      </c>
      <c r="D288" s="18" t="s">
        <v>489</v>
      </c>
      <c r="E288" t="s">
        <v>490</v>
      </c>
      <c r="F288" t="s">
        <v>654</v>
      </c>
      <c r="G288" t="s">
        <v>35</v>
      </c>
      <c r="H288" t="s">
        <v>409</v>
      </c>
      <c r="I288" t="s">
        <v>503</v>
      </c>
      <c r="J288" s="3">
        <v>45187</v>
      </c>
      <c r="K288" s="21">
        <v>10775</v>
      </c>
      <c r="M288" t="s">
        <v>197</v>
      </c>
      <c r="N288" t="s">
        <v>22</v>
      </c>
      <c r="O288" t="s">
        <v>366</v>
      </c>
      <c r="Q288">
        <v>1</v>
      </c>
    </row>
    <row r="289" spans="1:17" hidden="1" x14ac:dyDescent="0.25">
      <c r="A289">
        <v>288</v>
      </c>
      <c r="B289">
        <v>2023</v>
      </c>
      <c r="C289" s="4" t="s">
        <v>608</v>
      </c>
      <c r="D289" s="18" t="s">
        <v>584</v>
      </c>
      <c r="E289" t="s">
        <v>491</v>
      </c>
      <c r="F289" t="s">
        <v>654</v>
      </c>
      <c r="G289" t="s">
        <v>35</v>
      </c>
      <c r="H289" t="s">
        <v>90</v>
      </c>
      <c r="I289" t="s">
        <v>503</v>
      </c>
      <c r="J289" s="3">
        <v>45196</v>
      </c>
      <c r="K289" s="21">
        <v>10775</v>
      </c>
      <c r="M289" t="s">
        <v>21</v>
      </c>
      <c r="N289" t="s">
        <v>47</v>
      </c>
      <c r="O289" t="s">
        <v>366</v>
      </c>
      <c r="Q289">
        <v>1</v>
      </c>
    </row>
    <row r="290" spans="1:17" hidden="1" x14ac:dyDescent="0.25">
      <c r="A290">
        <v>289</v>
      </c>
      <c r="B290">
        <v>2023</v>
      </c>
      <c r="C290" s="4" t="s">
        <v>608</v>
      </c>
      <c r="D290" s="18" t="s">
        <v>585</v>
      </c>
      <c r="E290" t="s">
        <v>492</v>
      </c>
      <c r="F290" t="s">
        <v>122</v>
      </c>
      <c r="G290" t="s">
        <v>592</v>
      </c>
      <c r="H290" t="s">
        <v>60</v>
      </c>
      <c r="I290" t="s">
        <v>565</v>
      </c>
      <c r="J290" s="3">
        <v>45216</v>
      </c>
      <c r="K290" s="21">
        <v>300000</v>
      </c>
      <c r="M290" t="s">
        <v>61</v>
      </c>
      <c r="N290" t="s">
        <v>47</v>
      </c>
      <c r="O290" t="s">
        <v>366</v>
      </c>
      <c r="Q290">
        <v>1</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R22:T24"/>
  <sheetViews>
    <sheetView showGridLines="0" workbookViewId="0">
      <selection activeCell="Q17" sqref="Q17"/>
    </sheetView>
  </sheetViews>
  <sheetFormatPr defaultRowHeight="15" x14ac:dyDescent="0.25"/>
  <cols>
    <col min="18" max="18" width="10" customWidth="1"/>
    <col min="20" max="20" width="11.42578125" customWidth="1"/>
  </cols>
  <sheetData>
    <row r="22" spans="18:20" ht="18.75" x14ac:dyDescent="0.3">
      <c r="R22" s="37" t="s">
        <v>611</v>
      </c>
      <c r="S22" s="37"/>
      <c r="T22" s="31">
        <f>GETPIVOTDATA("Max of Gross2",'Unit Pivot Month'!$Q$3)</f>
        <v>500000</v>
      </c>
    </row>
    <row r="23" spans="18:20" ht="18.75" x14ac:dyDescent="0.3">
      <c r="R23" s="37" t="s">
        <v>612</v>
      </c>
      <c r="S23" s="37"/>
      <c r="T23" s="32">
        <f>GETPIVOTDATA("Min of Gross",'Unit Pivot Month'!$Q$3)</f>
        <v>8500</v>
      </c>
    </row>
    <row r="24" spans="18:20" ht="18.75" x14ac:dyDescent="0.3">
      <c r="R24" s="37" t="s">
        <v>617</v>
      </c>
      <c r="S24" s="37"/>
      <c r="T24" s="33">
        <f>GETPIVOTDATA("Average of Gross3",'Unit Pivot Month'!$Q$3)</f>
        <v>49819.845018450185</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R17:T19"/>
  <sheetViews>
    <sheetView showGridLines="0" workbookViewId="0">
      <selection activeCell="S22" sqref="S22"/>
    </sheetView>
  </sheetViews>
  <sheetFormatPr defaultRowHeight="15" x14ac:dyDescent="0.25"/>
  <cols>
    <col min="15" max="15" width="11.85546875" customWidth="1"/>
    <col min="20" max="20" width="11.85546875" customWidth="1"/>
  </cols>
  <sheetData>
    <row r="17" spans="18:20" ht="18.75" x14ac:dyDescent="0.3">
      <c r="R17" s="44" t="s">
        <v>611</v>
      </c>
      <c r="S17" s="44"/>
      <c r="T17" s="31">
        <f>GETPIVOTDATA("Max of Gross2",'Unit Pivot'!$M$3)</f>
        <v>500000</v>
      </c>
    </row>
    <row r="18" spans="18:20" ht="18.75" x14ac:dyDescent="0.3">
      <c r="R18" s="44" t="s">
        <v>612</v>
      </c>
      <c r="S18" s="44"/>
      <c r="T18" s="32">
        <f>GETPIVOTDATA("Min of Gross",'Unit Pivot'!$M$3)</f>
        <v>8500</v>
      </c>
    </row>
    <row r="19" spans="18:20" ht="18.75" x14ac:dyDescent="0.3">
      <c r="R19" s="44" t="s">
        <v>617</v>
      </c>
      <c r="S19" s="44"/>
      <c r="T19" s="33">
        <f>GETPIVOTDATA("Average of Gross3",'Unit Pivot'!$M$3)</f>
        <v>49819.845018450185</v>
      </c>
    </row>
  </sheetData>
  <mergeCells count="3">
    <mergeCell ref="R17:S17"/>
    <mergeCell ref="R18:S18"/>
    <mergeCell ref="R19:S19"/>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3:O27"/>
  <sheetViews>
    <sheetView workbookViewId="0">
      <selection activeCell="B7" sqref="B7"/>
    </sheetView>
  </sheetViews>
  <sheetFormatPr defaultRowHeight="15" x14ac:dyDescent="0.25"/>
  <cols>
    <col min="1" max="1" width="28" customWidth="1"/>
    <col min="2" max="2" width="12.5703125" bestFit="1" customWidth="1"/>
    <col min="12" max="12" width="28" customWidth="1"/>
    <col min="13" max="13" width="12.28515625" customWidth="1"/>
    <col min="14" max="14" width="16.140625" bestFit="1" customWidth="1"/>
    <col min="15" max="15" width="12.5703125" customWidth="1"/>
  </cols>
  <sheetData>
    <row r="3" spans="1:15" x14ac:dyDescent="0.25">
      <c r="A3" s="1" t="s">
        <v>494</v>
      </c>
      <c r="B3" t="s">
        <v>496</v>
      </c>
    </row>
    <row r="4" spans="1:15" x14ac:dyDescent="0.25">
      <c r="A4" s="5" t="s">
        <v>35</v>
      </c>
      <c r="B4" s="2">
        <v>53</v>
      </c>
    </row>
    <row r="5" spans="1:15" x14ac:dyDescent="0.25">
      <c r="A5" s="5" t="s">
        <v>41</v>
      </c>
      <c r="B5" s="2">
        <v>21</v>
      </c>
      <c r="L5" s="1" t="s">
        <v>494</v>
      </c>
      <c r="M5" t="s">
        <v>621</v>
      </c>
      <c r="N5" t="s">
        <v>618</v>
      </c>
      <c r="O5" t="s">
        <v>615</v>
      </c>
    </row>
    <row r="6" spans="1:15" x14ac:dyDescent="0.25">
      <c r="A6" s="5" t="s">
        <v>149</v>
      </c>
      <c r="B6" s="2">
        <v>11</v>
      </c>
      <c r="L6" s="5" t="s">
        <v>35</v>
      </c>
      <c r="M6" s="2">
        <v>8500</v>
      </c>
      <c r="N6" s="2">
        <v>19548.113207547169</v>
      </c>
      <c r="O6" s="2">
        <v>200000</v>
      </c>
    </row>
    <row r="7" spans="1:15" x14ac:dyDescent="0.25">
      <c r="A7" s="5" t="s">
        <v>99</v>
      </c>
      <c r="B7" s="2">
        <v>10</v>
      </c>
      <c r="L7" s="5" t="s">
        <v>41</v>
      </c>
      <c r="M7" s="2">
        <v>11000</v>
      </c>
      <c r="N7" s="2">
        <v>25523.809523809523</v>
      </c>
      <c r="O7" s="2">
        <v>42000</v>
      </c>
    </row>
    <row r="8" spans="1:15" x14ac:dyDescent="0.25">
      <c r="A8" s="5" t="s">
        <v>547</v>
      </c>
      <c r="B8" s="2">
        <v>9</v>
      </c>
      <c r="L8" s="5" t="s">
        <v>149</v>
      </c>
      <c r="M8" s="2">
        <v>20000</v>
      </c>
      <c r="N8" s="2">
        <v>35500</v>
      </c>
      <c r="O8" s="2">
        <v>55000</v>
      </c>
    </row>
    <row r="9" spans="1:15" x14ac:dyDescent="0.25">
      <c r="A9" s="5" t="s">
        <v>505</v>
      </c>
      <c r="B9" s="2">
        <v>13</v>
      </c>
      <c r="L9" s="5" t="s">
        <v>99</v>
      </c>
      <c r="M9" s="2">
        <v>21000</v>
      </c>
      <c r="N9" s="2">
        <v>48200</v>
      </c>
      <c r="O9" s="2">
        <v>220000</v>
      </c>
    </row>
    <row r="10" spans="1:15" x14ac:dyDescent="0.25">
      <c r="A10" s="5" t="s">
        <v>541</v>
      </c>
      <c r="B10" s="2">
        <v>49</v>
      </c>
      <c r="L10" s="5" t="s">
        <v>547</v>
      </c>
      <c r="M10" s="2">
        <v>45000</v>
      </c>
      <c r="N10" s="2">
        <v>75555.555555555562</v>
      </c>
      <c r="O10" s="2">
        <v>135000</v>
      </c>
    </row>
    <row r="11" spans="1:15" x14ac:dyDescent="0.25">
      <c r="A11" s="5" t="s">
        <v>549</v>
      </c>
      <c r="B11" s="2">
        <v>4</v>
      </c>
      <c r="L11" s="5" t="s">
        <v>505</v>
      </c>
      <c r="M11" s="2">
        <v>22000</v>
      </c>
      <c r="N11" s="2">
        <v>102846.15384615384</v>
      </c>
      <c r="O11" s="2">
        <v>230000</v>
      </c>
    </row>
    <row r="12" spans="1:15" x14ac:dyDescent="0.25">
      <c r="A12" s="5" t="s">
        <v>466</v>
      </c>
      <c r="B12" s="2">
        <v>1</v>
      </c>
      <c r="L12" s="5" t="s">
        <v>541</v>
      </c>
      <c r="M12" s="2">
        <v>18000</v>
      </c>
      <c r="N12" s="2">
        <v>50427.083333333336</v>
      </c>
      <c r="O12" s="2">
        <v>300000</v>
      </c>
    </row>
    <row r="13" spans="1:15" x14ac:dyDescent="0.25">
      <c r="A13" s="5" t="s">
        <v>67</v>
      </c>
      <c r="B13" s="2">
        <v>2</v>
      </c>
      <c r="L13" s="5" t="s">
        <v>549</v>
      </c>
      <c r="M13" s="2">
        <v>25000</v>
      </c>
      <c r="N13" s="2">
        <v>106750</v>
      </c>
      <c r="O13" s="2">
        <v>325000</v>
      </c>
    </row>
    <row r="14" spans="1:15" x14ac:dyDescent="0.25">
      <c r="A14" s="5" t="s">
        <v>71</v>
      </c>
      <c r="B14" s="2">
        <v>59</v>
      </c>
      <c r="L14" s="5" t="s">
        <v>466</v>
      </c>
      <c r="M14" s="2">
        <v>22000</v>
      </c>
      <c r="N14" s="2">
        <v>22000</v>
      </c>
      <c r="O14" s="2">
        <v>22000</v>
      </c>
    </row>
    <row r="15" spans="1:15" x14ac:dyDescent="0.25">
      <c r="A15" s="5" t="s">
        <v>317</v>
      </c>
      <c r="B15" s="2">
        <v>9</v>
      </c>
      <c r="L15" s="5" t="s">
        <v>67</v>
      </c>
      <c r="M15" s="2">
        <v>40000</v>
      </c>
      <c r="N15" s="2">
        <v>55000</v>
      </c>
      <c r="O15" s="2">
        <v>70000</v>
      </c>
    </row>
    <row r="16" spans="1:15" x14ac:dyDescent="0.25">
      <c r="A16" s="5" t="s">
        <v>506</v>
      </c>
      <c r="B16" s="2">
        <v>12</v>
      </c>
      <c r="L16" s="5" t="s">
        <v>71</v>
      </c>
      <c r="M16" s="2">
        <v>15000</v>
      </c>
      <c r="N16" s="2">
        <v>36403.508771929824</v>
      </c>
      <c r="O16" s="2">
        <v>240000</v>
      </c>
    </row>
    <row r="17" spans="1:15" x14ac:dyDescent="0.25">
      <c r="A17" s="5" t="s">
        <v>14</v>
      </c>
      <c r="B17" s="2">
        <v>7</v>
      </c>
      <c r="L17" s="5" t="s">
        <v>317</v>
      </c>
      <c r="M17" s="2">
        <v>15000</v>
      </c>
      <c r="N17" s="2">
        <v>26333.333333333332</v>
      </c>
      <c r="O17" s="2">
        <v>65000</v>
      </c>
    </row>
    <row r="18" spans="1:15" x14ac:dyDescent="0.25">
      <c r="A18" s="5" t="s">
        <v>76</v>
      </c>
      <c r="B18" s="2">
        <v>3</v>
      </c>
      <c r="L18" s="5" t="s">
        <v>506</v>
      </c>
      <c r="M18" s="2">
        <v>20000</v>
      </c>
      <c r="N18" s="2">
        <v>26545.454545454544</v>
      </c>
      <c r="O18" s="2">
        <v>35000</v>
      </c>
    </row>
    <row r="19" spans="1:15" x14ac:dyDescent="0.25">
      <c r="A19" s="5" t="s">
        <v>592</v>
      </c>
      <c r="B19" s="2">
        <v>3</v>
      </c>
      <c r="L19" s="5" t="s">
        <v>14</v>
      </c>
      <c r="M19" s="2">
        <v>40000</v>
      </c>
      <c r="N19" s="2">
        <v>240000</v>
      </c>
      <c r="O19" s="2">
        <v>500000</v>
      </c>
    </row>
    <row r="20" spans="1:15" x14ac:dyDescent="0.25">
      <c r="A20" s="5" t="s">
        <v>425</v>
      </c>
      <c r="B20" s="2">
        <v>10</v>
      </c>
      <c r="L20" s="5" t="s">
        <v>76</v>
      </c>
      <c r="M20" s="2">
        <v>20000</v>
      </c>
      <c r="N20" s="2">
        <v>22333.333333333332</v>
      </c>
      <c r="O20" s="2">
        <v>25000</v>
      </c>
    </row>
    <row r="21" spans="1:15" x14ac:dyDescent="0.25">
      <c r="A21" s="5" t="s">
        <v>623</v>
      </c>
      <c r="B21" s="2">
        <v>6</v>
      </c>
      <c r="L21" s="5" t="s">
        <v>592</v>
      </c>
      <c r="M21" s="2">
        <v>300000</v>
      </c>
      <c r="N21" s="2">
        <v>300000</v>
      </c>
      <c r="O21" s="2">
        <v>300000</v>
      </c>
    </row>
    <row r="22" spans="1:15" x14ac:dyDescent="0.25">
      <c r="A22" s="5" t="s">
        <v>656</v>
      </c>
      <c r="B22" s="2">
        <v>1</v>
      </c>
      <c r="L22" s="5" t="s">
        <v>425</v>
      </c>
      <c r="M22" s="2">
        <v>180000</v>
      </c>
      <c r="N22" s="2">
        <v>267542.66666666669</v>
      </c>
      <c r="O22" s="2">
        <v>382628</v>
      </c>
    </row>
    <row r="23" spans="1:15" x14ac:dyDescent="0.25">
      <c r="A23" s="5" t="s">
        <v>716</v>
      </c>
      <c r="B23" s="2">
        <v>3</v>
      </c>
      <c r="L23" s="5" t="s">
        <v>623</v>
      </c>
      <c r="M23" s="2">
        <v>25000</v>
      </c>
      <c r="N23" s="2">
        <v>74500</v>
      </c>
      <c r="O23" s="2">
        <v>300000</v>
      </c>
    </row>
    <row r="24" spans="1:15" x14ac:dyDescent="0.25">
      <c r="A24" s="5" t="s">
        <v>713</v>
      </c>
      <c r="B24" s="2">
        <v>3</v>
      </c>
      <c r="L24" s="5" t="s">
        <v>656</v>
      </c>
      <c r="M24" s="2">
        <v>250000</v>
      </c>
      <c r="N24" s="2">
        <v>250000</v>
      </c>
      <c r="O24" s="2">
        <v>250000</v>
      </c>
    </row>
    <row r="25" spans="1:15" x14ac:dyDescent="0.25">
      <c r="A25" s="5" t="s">
        <v>495</v>
      </c>
      <c r="B25" s="2">
        <v>289</v>
      </c>
      <c r="L25" s="5" t="s">
        <v>716</v>
      </c>
      <c r="M25" s="2">
        <v>20000</v>
      </c>
      <c r="N25" s="2">
        <v>21666.666666666668</v>
      </c>
      <c r="O25" s="2">
        <v>25000</v>
      </c>
    </row>
    <row r="26" spans="1:15" x14ac:dyDescent="0.25">
      <c r="L26" s="5" t="s">
        <v>713</v>
      </c>
      <c r="M26" s="2">
        <v>300000</v>
      </c>
      <c r="N26" s="2">
        <v>300000</v>
      </c>
      <c r="O26" s="2">
        <v>300000</v>
      </c>
    </row>
    <row r="27" spans="1:15" x14ac:dyDescent="0.25">
      <c r="L27" s="5" t="s">
        <v>495</v>
      </c>
      <c r="M27" s="2">
        <v>8500</v>
      </c>
      <c r="N27" s="2">
        <v>49819.845018450185</v>
      </c>
      <c r="O27" s="2">
        <v>500000</v>
      </c>
    </row>
  </sheetData>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O15:Q20"/>
  <sheetViews>
    <sheetView showGridLines="0" workbookViewId="0">
      <selection activeCell="P1" sqref="P1"/>
    </sheetView>
  </sheetViews>
  <sheetFormatPr defaultRowHeight="15" x14ac:dyDescent="0.25"/>
  <cols>
    <col min="15" max="15" width="14" customWidth="1"/>
    <col min="16" max="16" width="9.140625" customWidth="1"/>
    <col min="17" max="17" width="10.140625" customWidth="1"/>
  </cols>
  <sheetData>
    <row r="15" spans="15:17" ht="18.75" x14ac:dyDescent="0.3">
      <c r="O15" s="37" t="s">
        <v>611</v>
      </c>
      <c r="P15" s="37"/>
      <c r="Q15" s="31">
        <f>GETPIVOTDATA("Max of Gross",'Department Pivot'!$L$5)</f>
        <v>500000</v>
      </c>
    </row>
    <row r="16" spans="15:17" ht="18.75" x14ac:dyDescent="0.3">
      <c r="O16" s="37" t="s">
        <v>612</v>
      </c>
      <c r="P16" s="37"/>
      <c r="Q16" s="32">
        <f>GETPIVOTDATA("Min of Gross",'Department Pivot'!$L$5)</f>
        <v>8500</v>
      </c>
    </row>
    <row r="17" spans="15:17" ht="18.75" x14ac:dyDescent="0.3">
      <c r="O17" s="37" t="s">
        <v>617</v>
      </c>
      <c r="P17" s="37"/>
      <c r="Q17" s="33">
        <f>GETPIVOTDATA("Average of Gross",'Department Pivot'!$L$5)</f>
        <v>49819.845018450185</v>
      </c>
    </row>
    <row r="19" spans="15:17" x14ac:dyDescent="0.25">
      <c r="P19" t="s">
        <v>722</v>
      </c>
    </row>
    <row r="20" spans="15:17" ht="18.75" x14ac:dyDescent="0.3">
      <c r="O20" s="4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8"/>
  <sheetViews>
    <sheetView showGridLines="0" workbookViewId="0">
      <selection activeCell="Q8" sqref="Q8"/>
    </sheetView>
  </sheetViews>
  <sheetFormatPr defaultRowHeight="15" x14ac:dyDescent="0.25"/>
  <cols>
    <col min="14" max="14" width="13.5703125" customWidth="1"/>
    <col min="15" max="15" width="10.42578125" customWidth="1"/>
    <col min="17" max="17" width="11.5703125" customWidth="1"/>
  </cols>
  <sheetData>
    <row r="1" spans="1:17" x14ac:dyDescent="0.25">
      <c r="A1" t="s">
        <v>614</v>
      </c>
    </row>
    <row r="6" spans="1:17" ht="18.75" x14ac:dyDescent="0.3">
      <c r="O6" s="37" t="s">
        <v>611</v>
      </c>
      <c r="P6" s="37"/>
      <c r="Q6" s="31">
        <f>GETPIVOTDATA("Max of Gross",'Designation Pivot'!$T$5)</f>
        <v>195000</v>
      </c>
    </row>
    <row r="7" spans="1:17" ht="18.75" x14ac:dyDescent="0.3">
      <c r="O7" s="37" t="s">
        <v>612</v>
      </c>
      <c r="P7" s="37"/>
      <c r="Q7" s="32">
        <f>GETPIVOTDATA("Min of Gross2",'Designation Pivot'!$T$5)</f>
        <v>130000</v>
      </c>
    </row>
    <row r="8" spans="1:17" ht="18.75" x14ac:dyDescent="0.3">
      <c r="O8" s="37" t="s">
        <v>617</v>
      </c>
      <c r="P8" s="37"/>
      <c r="Q8" s="33">
        <f>GETPIVOTDATA("Average of Gross",'Designation Pivot'!$T$5)</f>
        <v>157500</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S17:T17"/>
  <sheetViews>
    <sheetView showGridLines="0" workbookViewId="0">
      <selection activeCell="T19" sqref="T19"/>
    </sheetView>
  </sheetViews>
  <sheetFormatPr defaultRowHeight="15" x14ac:dyDescent="0.25"/>
  <sheetData>
    <row r="17" spans="19:20" ht="23.25" x14ac:dyDescent="0.35">
      <c r="S17" s="30" t="s">
        <v>609</v>
      </c>
      <c r="T17" s="30">
        <f>GETPIVOTDATA("count",'Mode Pivot'!$A$3)</f>
        <v>289</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3:X7"/>
  <sheetViews>
    <sheetView workbookViewId="0">
      <selection activeCell="A3" sqref="A3"/>
    </sheetView>
  </sheetViews>
  <sheetFormatPr defaultRowHeight="15" x14ac:dyDescent="0.25"/>
  <cols>
    <col min="1" max="1" width="25" customWidth="1"/>
    <col min="2" max="2" width="12.5703125" customWidth="1"/>
    <col min="3" max="3" width="14.140625" customWidth="1"/>
    <col min="4" max="12" width="6" customWidth="1"/>
    <col min="13" max="13" width="10.42578125" customWidth="1"/>
    <col min="14" max="19" width="6" customWidth="1"/>
    <col min="20" max="20" width="25" customWidth="1"/>
    <col min="21" max="21" width="12.5703125" customWidth="1"/>
    <col min="22" max="22" width="16.140625" customWidth="1"/>
    <col min="23" max="23" width="13.42578125" customWidth="1"/>
    <col min="24" max="24" width="12.5703125" customWidth="1"/>
    <col min="25" max="46" width="6" customWidth="1"/>
    <col min="47" max="61" width="7" customWidth="1"/>
    <col min="62" max="62" width="7.28515625" customWidth="1"/>
    <col min="63" max="63" width="11.28515625" bestFit="1" customWidth="1"/>
  </cols>
  <sheetData>
    <row r="3" spans="1:24" x14ac:dyDescent="0.25">
      <c r="A3" s="1" t="s">
        <v>494</v>
      </c>
      <c r="B3" t="s">
        <v>496</v>
      </c>
    </row>
    <row r="4" spans="1:24" x14ac:dyDescent="0.25">
      <c r="A4" s="5" t="s">
        <v>509</v>
      </c>
      <c r="B4" s="2">
        <v>4</v>
      </c>
    </row>
    <row r="5" spans="1:24" x14ac:dyDescent="0.25">
      <c r="A5" s="5" t="s">
        <v>495</v>
      </c>
      <c r="B5" s="2">
        <v>4</v>
      </c>
      <c r="T5" s="1" t="s">
        <v>494</v>
      </c>
      <c r="U5" t="s">
        <v>595</v>
      </c>
      <c r="V5" t="s">
        <v>618</v>
      </c>
      <c r="W5" t="s">
        <v>616</v>
      </c>
      <c r="X5" t="s">
        <v>615</v>
      </c>
    </row>
    <row r="6" spans="1:24" x14ac:dyDescent="0.25">
      <c r="T6" s="5" t="s">
        <v>509</v>
      </c>
      <c r="U6" s="2">
        <v>630000</v>
      </c>
      <c r="V6" s="2">
        <v>157500</v>
      </c>
      <c r="W6" s="2">
        <v>130000</v>
      </c>
      <c r="X6" s="2">
        <v>195000</v>
      </c>
    </row>
    <row r="7" spans="1:24" x14ac:dyDescent="0.25">
      <c r="T7" s="5" t="s">
        <v>495</v>
      </c>
      <c r="U7" s="2">
        <v>630000</v>
      </c>
      <c r="V7" s="2">
        <v>157500</v>
      </c>
      <c r="W7" s="2">
        <v>130000</v>
      </c>
      <c r="X7" s="2">
        <v>195000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H54"/>
  <sheetViews>
    <sheetView topLeftCell="B1" workbookViewId="0">
      <selection activeCell="E22" sqref="E22"/>
    </sheetView>
  </sheetViews>
  <sheetFormatPr defaultRowHeight="15" x14ac:dyDescent="0.25"/>
  <cols>
    <col min="2" max="2" width="43.42578125" customWidth="1"/>
    <col min="3" max="3" width="17.28515625" customWidth="1"/>
    <col min="4" max="4" width="13.7109375" customWidth="1"/>
    <col min="5" max="5" width="36.42578125" customWidth="1"/>
    <col min="6" max="6" width="38.42578125" customWidth="1"/>
    <col min="7" max="7" width="20.140625" customWidth="1"/>
  </cols>
  <sheetData>
    <row r="1" spans="2:8" x14ac:dyDescent="0.25">
      <c r="B1" s="14" t="s">
        <v>576</v>
      </c>
      <c r="C1" s="14" t="s">
        <v>577</v>
      </c>
      <c r="D1" s="14" t="s">
        <v>10</v>
      </c>
      <c r="E1" s="14" t="s">
        <v>4</v>
      </c>
      <c r="F1" s="14" t="s">
        <v>528</v>
      </c>
      <c r="G1" s="14" t="s">
        <v>11</v>
      </c>
      <c r="H1" s="14" t="s">
        <v>497</v>
      </c>
    </row>
    <row r="2" spans="2:8" x14ac:dyDescent="0.25">
      <c r="B2" t="s">
        <v>539</v>
      </c>
      <c r="C2" t="s">
        <v>555</v>
      </c>
      <c r="D2" t="s">
        <v>17</v>
      </c>
      <c r="E2" t="s">
        <v>14</v>
      </c>
      <c r="F2" t="s">
        <v>16</v>
      </c>
      <c r="G2" t="s">
        <v>20</v>
      </c>
      <c r="H2" t="s">
        <v>599</v>
      </c>
    </row>
    <row r="3" spans="2:8" x14ac:dyDescent="0.25">
      <c r="B3" t="s">
        <v>159</v>
      </c>
      <c r="C3" t="s">
        <v>57</v>
      </c>
      <c r="D3" t="s">
        <v>22</v>
      </c>
      <c r="E3" t="s">
        <v>549</v>
      </c>
      <c r="F3" t="s">
        <v>21</v>
      </c>
      <c r="G3" t="s">
        <v>578</v>
      </c>
      <c r="H3" t="s">
        <v>600</v>
      </c>
    </row>
    <row r="4" spans="2:8" x14ac:dyDescent="0.25">
      <c r="B4" t="s">
        <v>89</v>
      </c>
      <c r="C4" t="s">
        <v>60</v>
      </c>
      <c r="D4" t="s">
        <v>567</v>
      </c>
      <c r="E4" t="s">
        <v>541</v>
      </c>
      <c r="F4" t="s">
        <v>25</v>
      </c>
      <c r="G4" t="s">
        <v>579</v>
      </c>
      <c r="H4" t="s">
        <v>601</v>
      </c>
    </row>
    <row r="5" spans="2:8" x14ac:dyDescent="0.25">
      <c r="B5" t="s">
        <v>92</v>
      </c>
      <c r="C5" s="15" t="s">
        <v>568</v>
      </c>
      <c r="D5" t="s">
        <v>47</v>
      </c>
      <c r="E5" t="s">
        <v>35</v>
      </c>
      <c r="F5" t="s">
        <v>16</v>
      </c>
      <c r="G5" t="s">
        <v>37</v>
      </c>
      <c r="H5" t="s">
        <v>602</v>
      </c>
    </row>
    <row r="6" spans="2:8" x14ac:dyDescent="0.25">
      <c r="B6" t="s">
        <v>83</v>
      </c>
      <c r="C6" t="s">
        <v>123</v>
      </c>
      <c r="E6" t="s">
        <v>41</v>
      </c>
      <c r="F6" s="16" t="s">
        <v>38</v>
      </c>
      <c r="H6" t="s">
        <v>603</v>
      </c>
    </row>
    <row r="7" spans="2:8" x14ac:dyDescent="0.25">
      <c r="B7" t="s">
        <v>86</v>
      </c>
      <c r="C7" t="s">
        <v>90</v>
      </c>
      <c r="E7" t="s">
        <v>71</v>
      </c>
      <c r="F7" s="16" t="s">
        <v>30</v>
      </c>
      <c r="H7" t="s">
        <v>604</v>
      </c>
    </row>
    <row r="8" spans="2:8" x14ac:dyDescent="0.25">
      <c r="B8" t="s">
        <v>34</v>
      </c>
      <c r="C8" t="s">
        <v>133</v>
      </c>
      <c r="E8" t="s">
        <v>76</v>
      </c>
      <c r="F8" s="16" t="s">
        <v>53</v>
      </c>
      <c r="H8" t="s">
        <v>605</v>
      </c>
    </row>
    <row r="9" spans="2:8" x14ac:dyDescent="0.25">
      <c r="B9" t="s">
        <v>52</v>
      </c>
      <c r="C9" s="6" t="s">
        <v>569</v>
      </c>
      <c r="E9" t="s">
        <v>505</v>
      </c>
      <c r="F9" s="16" t="s">
        <v>58</v>
      </c>
      <c r="H9" t="s">
        <v>606</v>
      </c>
    </row>
    <row r="10" spans="2:8" x14ac:dyDescent="0.25">
      <c r="B10" t="s">
        <v>50</v>
      </c>
      <c r="C10" s="6" t="s">
        <v>55</v>
      </c>
      <c r="E10" t="s">
        <v>99</v>
      </c>
      <c r="F10" s="16" t="s">
        <v>61</v>
      </c>
      <c r="H10" t="s">
        <v>607</v>
      </c>
    </row>
    <row r="11" spans="2:8" x14ac:dyDescent="0.25">
      <c r="B11" s="15" t="s">
        <v>526</v>
      </c>
      <c r="C11" t="s">
        <v>409</v>
      </c>
      <c r="E11" t="s">
        <v>506</v>
      </c>
      <c r="F11" s="16" t="s">
        <v>548</v>
      </c>
      <c r="H11" t="s">
        <v>608</v>
      </c>
    </row>
    <row r="12" spans="2:8" x14ac:dyDescent="0.25">
      <c r="B12" t="s">
        <v>570</v>
      </c>
      <c r="C12" t="s">
        <v>15</v>
      </c>
      <c r="E12" s="15" t="s">
        <v>425</v>
      </c>
      <c r="F12" s="16" t="s">
        <v>68</v>
      </c>
      <c r="H12" t="s">
        <v>619</v>
      </c>
    </row>
    <row r="13" spans="2:8" x14ac:dyDescent="0.25">
      <c r="B13" t="s">
        <v>507</v>
      </c>
      <c r="E13" t="s">
        <v>547</v>
      </c>
      <c r="F13" s="16" t="s">
        <v>78</v>
      </c>
      <c r="H13" t="s">
        <v>620</v>
      </c>
    </row>
    <row r="14" spans="2:8" x14ac:dyDescent="0.25">
      <c r="B14" t="s">
        <v>521</v>
      </c>
      <c r="E14" t="s">
        <v>149</v>
      </c>
      <c r="F14" s="16" t="s">
        <v>93</v>
      </c>
    </row>
    <row r="15" spans="2:8" x14ac:dyDescent="0.25">
      <c r="B15" t="s">
        <v>524</v>
      </c>
      <c r="E15" t="s">
        <v>317</v>
      </c>
      <c r="F15" s="16" t="s">
        <v>100</v>
      </c>
    </row>
    <row r="16" spans="2:8" x14ac:dyDescent="0.25">
      <c r="B16" t="s">
        <v>526</v>
      </c>
      <c r="E16" s="6" t="s">
        <v>713</v>
      </c>
      <c r="F16" s="16" t="s">
        <v>103</v>
      </c>
    </row>
    <row r="17" spans="2:6" x14ac:dyDescent="0.25">
      <c r="B17" t="s">
        <v>529</v>
      </c>
      <c r="E17" t="s">
        <v>466</v>
      </c>
      <c r="F17" s="16" t="s">
        <v>566</v>
      </c>
    </row>
    <row r="18" spans="2:6" x14ac:dyDescent="0.25">
      <c r="B18" t="s">
        <v>164</v>
      </c>
      <c r="E18" t="s">
        <v>719</v>
      </c>
      <c r="F18" s="16" t="s">
        <v>139</v>
      </c>
    </row>
    <row r="19" spans="2:6" x14ac:dyDescent="0.25">
      <c r="B19" t="s">
        <v>128</v>
      </c>
      <c r="E19" t="s">
        <v>592</v>
      </c>
      <c r="F19" s="16" t="s">
        <v>171</v>
      </c>
    </row>
    <row r="20" spans="2:6" x14ac:dyDescent="0.25">
      <c r="B20" t="s">
        <v>525</v>
      </c>
      <c r="E20" t="s">
        <v>720</v>
      </c>
      <c r="F20" s="16" t="s">
        <v>194</v>
      </c>
    </row>
    <row r="21" spans="2:6" x14ac:dyDescent="0.25">
      <c r="B21" t="s">
        <v>509</v>
      </c>
      <c r="E21" t="s">
        <v>721</v>
      </c>
      <c r="F21" s="16" t="s">
        <v>197</v>
      </c>
    </row>
    <row r="22" spans="2:6" x14ac:dyDescent="0.25">
      <c r="B22" t="s">
        <v>515</v>
      </c>
      <c r="F22" s="16" t="s">
        <v>248</v>
      </c>
    </row>
    <row r="23" spans="2:6" x14ac:dyDescent="0.25">
      <c r="B23" t="s">
        <v>527</v>
      </c>
      <c r="F23" s="16" t="s">
        <v>334</v>
      </c>
    </row>
    <row r="24" spans="2:6" x14ac:dyDescent="0.25">
      <c r="B24" t="s">
        <v>571</v>
      </c>
      <c r="F24" s="16" t="s">
        <v>343</v>
      </c>
    </row>
    <row r="25" spans="2:6" x14ac:dyDescent="0.25">
      <c r="B25" t="s">
        <v>572</v>
      </c>
      <c r="F25" s="16" t="s">
        <v>409</v>
      </c>
    </row>
    <row r="26" spans="2:6" x14ac:dyDescent="0.25">
      <c r="B26" t="s">
        <v>573</v>
      </c>
    </row>
    <row r="27" spans="2:6" x14ac:dyDescent="0.25">
      <c r="B27" t="s">
        <v>509</v>
      </c>
    </row>
    <row r="28" spans="2:6" x14ac:dyDescent="0.25">
      <c r="B28" t="s">
        <v>527</v>
      </c>
    </row>
    <row r="29" spans="2:6" x14ac:dyDescent="0.25">
      <c r="B29" t="s">
        <v>571</v>
      </c>
    </row>
    <row r="30" spans="2:6" x14ac:dyDescent="0.25">
      <c r="B30" t="s">
        <v>146</v>
      </c>
    </row>
    <row r="31" spans="2:6" x14ac:dyDescent="0.25">
      <c r="B31" t="s">
        <v>388</v>
      </c>
    </row>
    <row r="32" spans="2:6" x14ac:dyDescent="0.25">
      <c r="B32" t="s">
        <v>70</v>
      </c>
    </row>
    <row r="33" spans="2:4" x14ac:dyDescent="0.25">
      <c r="B33" t="s">
        <v>520</v>
      </c>
    </row>
    <row r="34" spans="2:4" x14ac:dyDescent="0.25">
      <c r="B34" t="s">
        <v>161</v>
      </c>
    </row>
    <row r="35" spans="2:4" x14ac:dyDescent="0.25">
      <c r="B35" t="s">
        <v>219</v>
      </c>
    </row>
    <row r="36" spans="2:4" x14ac:dyDescent="0.25">
      <c r="B36" s="6" t="s">
        <v>148</v>
      </c>
    </row>
    <row r="37" spans="2:4" x14ac:dyDescent="0.25">
      <c r="B37" t="s">
        <v>513</v>
      </c>
    </row>
    <row r="38" spans="2:4" x14ac:dyDescent="0.25">
      <c r="B38" s="6" t="s">
        <v>552</v>
      </c>
    </row>
    <row r="39" spans="2:4" x14ac:dyDescent="0.25">
      <c r="B39" t="s">
        <v>276</v>
      </c>
    </row>
    <row r="40" spans="2:4" x14ac:dyDescent="0.25">
      <c r="B40" s="6" t="s">
        <v>574</v>
      </c>
    </row>
    <row r="41" spans="2:4" x14ac:dyDescent="0.25">
      <c r="B41" s="6" t="s">
        <v>575</v>
      </c>
    </row>
    <row r="42" spans="2:4" x14ac:dyDescent="0.25">
      <c r="B42" t="s">
        <v>349</v>
      </c>
    </row>
    <row r="43" spans="2:4" x14ac:dyDescent="0.25">
      <c r="B43" s="6" t="s">
        <v>20</v>
      </c>
    </row>
    <row r="44" spans="2:4" x14ac:dyDescent="0.25">
      <c r="B44" s="13"/>
      <c r="D44" s="13"/>
    </row>
    <row r="54" spans="2:4" x14ac:dyDescent="0.25">
      <c r="B54" s="13"/>
      <c r="D54" s="1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Input</vt:lpstr>
      <vt:lpstr>Mode Pivot</vt:lpstr>
      <vt:lpstr>Unit Pivot Month</vt:lpstr>
      <vt:lpstr>Unit Pivot</vt:lpstr>
      <vt:lpstr>Raw Data</vt:lpstr>
      <vt:lpstr>Unit Summary Month</vt:lpstr>
      <vt:lpstr>Unit Summary</vt:lpstr>
      <vt:lpstr>Department Pivot</vt:lpstr>
      <vt:lpstr>Department Summary</vt:lpstr>
      <vt:lpstr>Designation Summary</vt:lpstr>
      <vt:lpstr>Mode Summary</vt:lpstr>
      <vt:lpstr>Designation Pivot</vt:lpstr>
      <vt:lpstr>Data list</vt:lpstr>
      <vt:lpstr>'Raw Data'!Extract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2023-10-31T02:02:20Z</dcterms:modified>
</cp:coreProperties>
</file>